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Users\santi\Desktop\overtheair\overtheair-docs\tech-software-innovation\"/>
    </mc:Choice>
  </mc:AlternateContent>
  <xr:revisionPtr revIDLastSave="0" documentId="13_ncr:1_{77AEB436-D811-4A2B-89FA-1A576208815D}" xr6:coauthVersionLast="47" xr6:coauthVersionMax="47" xr10:uidLastSave="{00000000-0000-0000-0000-000000000000}"/>
  <bookViews>
    <workbookView xWindow="-120" yWindow="-120" windowWidth="29040" windowHeight="15720" tabRatio="865" firstSheet="2" activeTab="16" xr2:uid="{00000000-000D-0000-FFFF-FFFF00000000}"/>
  </bookViews>
  <sheets>
    <sheet name="Indicadores Financieros" sheetId="1" r:id="rId1"/>
    <sheet name="Supuestos" sheetId="2" r:id="rId2"/>
    <sheet name="CAPEX" sheetId="3" r:id="rId3"/>
    <sheet name="Cloud" sheetId="4" r:id="rId4"/>
    <sheet name="AI" sheetId="5" r:id="rId5"/>
    <sheet name="Transaccional" sheetId="6" r:id="rId6"/>
    <sheet name="OPEX" sheetId="7" r:id="rId7"/>
    <sheet name="Inputs" sheetId="8" r:id="rId8"/>
    <sheet name="Unit Economics" sheetId="9" r:id="rId9"/>
    <sheet name="P&amp;G 12 Meses" sheetId="10" r:id="rId10"/>
    <sheet name="Cash Flow" sheetId="11" r:id="rId11"/>
    <sheet name="P&amp;G 36 Meses" sheetId="12" r:id="rId12"/>
    <sheet name="FC Proyecto" sheetId="13" r:id="rId13"/>
    <sheet name="FC Empresa" sheetId="14" r:id="rId14"/>
    <sheet name="Sensibilidad" sheetId="15" r:id="rId15"/>
    <sheet name="Ruta Rentabilidad" sheetId="16" r:id="rId16"/>
    <sheet name="Conclusión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15" l="1"/>
  <c r="C40" i="15"/>
  <c r="C39" i="15"/>
  <c r="B12" i="14"/>
  <c r="AK9" i="14"/>
  <c r="AJ9" i="14"/>
  <c r="AI9" i="14"/>
  <c r="AH9" i="14"/>
  <c r="AG9" i="14"/>
  <c r="AF9" i="14"/>
  <c r="AE9" i="14"/>
  <c r="AD9" i="14"/>
  <c r="AC9" i="14"/>
  <c r="AB9" i="14"/>
  <c r="AA9" i="14"/>
  <c r="Z9" i="14"/>
  <c r="Y9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B9" i="14"/>
  <c r="AK8" i="14"/>
  <c r="AJ8" i="14"/>
  <c r="AI8" i="14"/>
  <c r="AH8" i="14"/>
  <c r="AG8" i="14"/>
  <c r="AF8" i="14"/>
  <c r="AE8" i="14"/>
  <c r="AD8" i="14"/>
  <c r="AC8" i="14"/>
  <c r="AB8" i="14"/>
  <c r="AA8" i="14"/>
  <c r="Z8" i="14"/>
  <c r="Y8" i="14"/>
  <c r="X8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H8" i="14"/>
  <c r="G8" i="14"/>
  <c r="F8" i="14"/>
  <c r="E8" i="14"/>
  <c r="D8" i="14"/>
  <c r="C8" i="14"/>
  <c r="AK6" i="14"/>
  <c r="AJ6" i="14"/>
  <c r="AI6" i="14"/>
  <c r="AH6" i="14"/>
  <c r="AG6" i="14"/>
  <c r="AF6" i="14"/>
  <c r="AE6" i="14"/>
  <c r="AD6" i="14"/>
  <c r="AC6" i="14"/>
  <c r="AB6" i="14"/>
  <c r="AA6" i="14"/>
  <c r="Z6" i="14"/>
  <c r="Y6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C6" i="14"/>
  <c r="B6" i="14"/>
  <c r="B10" i="13"/>
  <c r="AK7" i="13"/>
  <c r="AJ7" i="13"/>
  <c r="AI7" i="13"/>
  <c r="AH7" i="13"/>
  <c r="AG7" i="13"/>
  <c r="AF7" i="13"/>
  <c r="AE7" i="13"/>
  <c r="AD7" i="13"/>
  <c r="AC7" i="13"/>
  <c r="AB7" i="13"/>
  <c r="AA7" i="13"/>
  <c r="Z7" i="13"/>
  <c r="Y7" i="13"/>
  <c r="X7" i="13"/>
  <c r="W7" i="13"/>
  <c r="V7" i="13"/>
  <c r="U7" i="13"/>
  <c r="T7" i="13"/>
  <c r="S7" i="13"/>
  <c r="R7" i="13"/>
  <c r="Q7" i="13"/>
  <c r="P7" i="13"/>
  <c r="O7" i="13"/>
  <c r="N7" i="13"/>
  <c r="M7" i="13"/>
  <c r="L7" i="13"/>
  <c r="K7" i="13"/>
  <c r="J7" i="13"/>
  <c r="I7" i="13"/>
  <c r="H7" i="13"/>
  <c r="G7" i="13"/>
  <c r="F7" i="13"/>
  <c r="E7" i="13"/>
  <c r="D7" i="13"/>
  <c r="C7" i="13"/>
  <c r="AK32" i="12"/>
  <c r="AJ32" i="12"/>
  <c r="AI32" i="12"/>
  <c r="AH32" i="12"/>
  <c r="AG32" i="12"/>
  <c r="AF32" i="12"/>
  <c r="AE32" i="12"/>
  <c r="AD32" i="12"/>
  <c r="AC32" i="12"/>
  <c r="AB32" i="12"/>
  <c r="AA32" i="12"/>
  <c r="Z32" i="12"/>
  <c r="Y32" i="12"/>
  <c r="X32" i="12"/>
  <c r="W32" i="12"/>
  <c r="V32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C32" i="12"/>
  <c r="B32" i="12"/>
  <c r="AL32" i="12" s="1"/>
  <c r="AK31" i="12"/>
  <c r="AJ31" i="12"/>
  <c r="AI31" i="12"/>
  <c r="AH31" i="12"/>
  <c r="AG31" i="12"/>
  <c r="AF31" i="12"/>
  <c r="AE31" i="12"/>
  <c r="AD31" i="12"/>
  <c r="AC31" i="12"/>
  <c r="AB31" i="12"/>
  <c r="AA31" i="12"/>
  <c r="Z31" i="12"/>
  <c r="Y31" i="12"/>
  <c r="X31" i="12"/>
  <c r="W31" i="12"/>
  <c r="V31" i="12"/>
  <c r="U31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C31" i="12"/>
  <c r="B31" i="12"/>
  <c r="AL31" i="12" s="1"/>
  <c r="D16" i="12"/>
  <c r="C16" i="12"/>
  <c r="AK9" i="12"/>
  <c r="AJ9" i="12"/>
  <c r="AI9" i="12"/>
  <c r="AH9" i="12"/>
  <c r="AG9" i="12"/>
  <c r="AF9" i="12"/>
  <c r="AE9" i="12"/>
  <c r="AD9" i="12"/>
  <c r="AC9" i="12"/>
  <c r="AB9" i="12"/>
  <c r="AA9" i="12"/>
  <c r="Z9" i="12"/>
  <c r="Y9" i="12"/>
  <c r="X9" i="12"/>
  <c r="W9" i="12"/>
  <c r="V9" i="12"/>
  <c r="U9" i="12"/>
  <c r="T9" i="12"/>
  <c r="S9" i="12"/>
  <c r="R9" i="12"/>
  <c r="Q9" i="12"/>
  <c r="P9" i="12"/>
  <c r="O9" i="12"/>
  <c r="N9" i="12"/>
  <c r="M9" i="12"/>
  <c r="L9" i="12"/>
  <c r="K9" i="12"/>
  <c r="J9" i="12"/>
  <c r="I9" i="12"/>
  <c r="H9" i="12"/>
  <c r="G9" i="12"/>
  <c r="F9" i="12"/>
  <c r="E9" i="12"/>
  <c r="D9" i="12"/>
  <c r="C9" i="12"/>
  <c r="B9" i="12"/>
  <c r="AL9" i="12" s="1"/>
  <c r="E8" i="12"/>
  <c r="E16" i="12" s="1"/>
  <c r="D8" i="12"/>
  <c r="C8" i="12"/>
  <c r="B8" i="12"/>
  <c r="B16" i="12" s="1"/>
  <c r="AK5" i="12"/>
  <c r="AK33" i="12" s="1"/>
  <c r="AJ5" i="12"/>
  <c r="AI5" i="12"/>
  <c r="AH5" i="12"/>
  <c r="AG5" i="12"/>
  <c r="AG33" i="12" s="1"/>
  <c r="AF5" i="12"/>
  <c r="AF33" i="12" s="1"/>
  <c r="AE5" i="12"/>
  <c r="AD5" i="12"/>
  <c r="AC5" i="12"/>
  <c r="AB5" i="12"/>
  <c r="AA5" i="12"/>
  <c r="AA33" i="12" s="1"/>
  <c r="Z5" i="12"/>
  <c r="Y5" i="12"/>
  <c r="Y33" i="12" s="1"/>
  <c r="X5" i="12"/>
  <c r="W5" i="12"/>
  <c r="V5" i="12"/>
  <c r="U5" i="12"/>
  <c r="U33" i="12" s="1"/>
  <c r="T5" i="12"/>
  <c r="T33" i="12" s="1"/>
  <c r="S5" i="12"/>
  <c r="R5" i="12"/>
  <c r="Q5" i="12"/>
  <c r="P5" i="12"/>
  <c r="O5" i="12"/>
  <c r="O33" i="12" s="1"/>
  <c r="N5" i="12"/>
  <c r="M5" i="12"/>
  <c r="M33" i="12" s="1"/>
  <c r="L5" i="12"/>
  <c r="K5" i="12"/>
  <c r="J5" i="12"/>
  <c r="I5" i="12"/>
  <c r="I33" i="12" s="1"/>
  <c r="H5" i="12"/>
  <c r="H33" i="12" s="1"/>
  <c r="G5" i="12"/>
  <c r="F5" i="12"/>
  <c r="E5" i="12"/>
  <c r="D5" i="12"/>
  <c r="C5" i="12"/>
  <c r="C33" i="12" s="1"/>
  <c r="B5" i="12"/>
  <c r="M16" i="11"/>
  <c r="L16" i="11"/>
  <c r="K16" i="11"/>
  <c r="F16" i="11"/>
  <c r="C16" i="11"/>
  <c r="M15" i="11"/>
  <c r="L15" i="11"/>
  <c r="K15" i="11"/>
  <c r="J15" i="11"/>
  <c r="J16" i="11" s="1"/>
  <c r="I15" i="11"/>
  <c r="I16" i="11" s="1"/>
  <c r="H15" i="11"/>
  <c r="H16" i="11" s="1"/>
  <c r="G15" i="11"/>
  <c r="G16" i="11" s="1"/>
  <c r="F15" i="11"/>
  <c r="E15" i="11"/>
  <c r="E16" i="11" s="1"/>
  <c r="D15" i="11"/>
  <c r="D16" i="11" s="1"/>
  <c r="C15" i="11"/>
  <c r="B15" i="11"/>
  <c r="B16" i="11" s="1"/>
  <c r="M12" i="11"/>
  <c r="H12" i="11"/>
  <c r="E12" i="11"/>
  <c r="M11" i="11"/>
  <c r="L11" i="11"/>
  <c r="L12" i="11" s="1"/>
  <c r="K11" i="11"/>
  <c r="K12" i="11" s="1"/>
  <c r="J11" i="11"/>
  <c r="J12" i="11" s="1"/>
  <c r="I11" i="11"/>
  <c r="I12" i="11" s="1"/>
  <c r="H11" i="11"/>
  <c r="G11" i="11"/>
  <c r="G12" i="11" s="1"/>
  <c r="F11" i="11"/>
  <c r="F12" i="11" s="1"/>
  <c r="E11" i="11"/>
  <c r="D11" i="11"/>
  <c r="D12" i="11" s="1"/>
  <c r="C11" i="11"/>
  <c r="C12" i="11" s="1"/>
  <c r="J33" i="10"/>
  <c r="E33" i="10"/>
  <c r="D33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B32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B31" i="10"/>
  <c r="E16" i="10"/>
  <c r="D16" i="10"/>
  <c r="C16" i="10"/>
  <c r="M9" i="10"/>
  <c r="L9" i="10"/>
  <c r="K9" i="10"/>
  <c r="J9" i="10"/>
  <c r="I9" i="10"/>
  <c r="H9" i="10"/>
  <c r="G9" i="10"/>
  <c r="F9" i="10"/>
  <c r="E9" i="10"/>
  <c r="D9" i="10"/>
  <c r="C9" i="10"/>
  <c r="B9" i="10"/>
  <c r="D8" i="10"/>
  <c r="E8" i="10" s="1"/>
  <c r="F8" i="10" s="1"/>
  <c r="C8" i="10"/>
  <c r="B8" i="10"/>
  <c r="B16" i="10" s="1"/>
  <c r="M5" i="10"/>
  <c r="M33" i="10" s="1"/>
  <c r="L5" i="10"/>
  <c r="L33" i="10" s="1"/>
  <c r="K5" i="10"/>
  <c r="K33" i="10" s="1"/>
  <c r="J5" i="10"/>
  <c r="I5" i="10"/>
  <c r="I33" i="10" s="1"/>
  <c r="H5" i="10"/>
  <c r="H33" i="10" s="1"/>
  <c r="G5" i="10"/>
  <c r="G33" i="10" s="1"/>
  <c r="F5" i="10"/>
  <c r="F33" i="10" s="1"/>
  <c r="E5" i="10"/>
  <c r="D5" i="10"/>
  <c r="C5" i="10"/>
  <c r="C33" i="10" s="1"/>
  <c r="B5" i="10"/>
  <c r="D23" i="9"/>
  <c r="C23" i="9"/>
  <c r="B23" i="9"/>
  <c r="D22" i="9"/>
  <c r="C22" i="9"/>
  <c r="B22" i="9"/>
  <c r="D21" i="9"/>
  <c r="C21" i="9"/>
  <c r="B21" i="9"/>
  <c r="D13" i="9"/>
  <c r="C13" i="9"/>
  <c r="B13" i="9"/>
  <c r="D12" i="9"/>
  <c r="C12" i="9"/>
  <c r="B12" i="9"/>
  <c r="D11" i="9"/>
  <c r="D14" i="9" s="1"/>
  <c r="D17" i="9" s="1"/>
  <c r="D7" i="9"/>
  <c r="D8" i="9" s="1"/>
  <c r="C6" i="9"/>
  <c r="B52" i="8"/>
  <c r="B51" i="8"/>
  <c r="B37" i="8"/>
  <c r="B26" i="8"/>
  <c r="D10" i="7"/>
  <c r="C8" i="7"/>
  <c r="D8" i="7" s="1"/>
  <c r="D7" i="7"/>
  <c r="C7" i="7"/>
  <c r="D6" i="7"/>
  <c r="D5" i="7"/>
  <c r="D4" i="7"/>
  <c r="D3" i="7"/>
  <c r="D2" i="7"/>
  <c r="D5" i="6"/>
  <c r="D4" i="6"/>
  <c r="D3" i="6"/>
  <c r="D2" i="6"/>
  <c r="D6" i="6" s="1"/>
  <c r="C11" i="7" s="1"/>
  <c r="D11" i="7" s="1"/>
  <c r="D4" i="5"/>
  <c r="C4" i="5"/>
  <c r="C10" i="4"/>
  <c r="D10" i="4" s="1"/>
  <c r="D9" i="4"/>
  <c r="C9" i="4"/>
  <c r="C8" i="4"/>
  <c r="D8" i="4" s="1"/>
  <c r="C7" i="4"/>
  <c r="D7" i="4" s="1"/>
  <c r="D6" i="4"/>
  <c r="C6" i="4"/>
  <c r="C5" i="4"/>
  <c r="C11" i="4" s="1"/>
  <c r="C4" i="4"/>
  <c r="D4" i="4" s="1"/>
  <c r="D3" i="4"/>
  <c r="C3" i="4"/>
  <c r="C2" i="4"/>
  <c r="D2" i="4" s="1"/>
  <c r="C7" i="3"/>
  <c r="C6" i="3"/>
  <c r="C2" i="3"/>
  <c r="E17" i="16"/>
  <c r="B41" i="8" l="1"/>
  <c r="C9" i="7"/>
  <c r="D9" i="7" s="1"/>
  <c r="D24" i="9"/>
  <c r="D25" i="9" s="1"/>
  <c r="D30" i="9" s="1"/>
  <c r="D29" i="9"/>
  <c r="D12" i="7"/>
  <c r="D5" i="4"/>
  <c r="D11" i="4" s="1"/>
  <c r="F8" i="12"/>
  <c r="C5" i="9"/>
  <c r="C8" i="9" s="1"/>
  <c r="B5" i="9"/>
  <c r="B8" i="9" s="1"/>
  <c r="B28" i="8"/>
  <c r="C8" i="3"/>
  <c r="B47" i="8" s="1"/>
  <c r="G8" i="10"/>
  <c r="F16" i="10"/>
  <c r="D18" i="9"/>
  <c r="B33" i="10"/>
  <c r="N33" i="10" s="1"/>
  <c r="B7" i="10"/>
  <c r="B6" i="10"/>
  <c r="N5" i="10"/>
  <c r="N9" i="10"/>
  <c r="N16" i="11"/>
  <c r="N15" i="11"/>
  <c r="D26" i="9"/>
  <c r="D31" i="9" s="1"/>
  <c r="C12" i="7"/>
  <c r="G33" i="12"/>
  <c r="S33" i="12"/>
  <c r="AE33" i="12"/>
  <c r="J33" i="12"/>
  <c r="V33" i="12"/>
  <c r="AH33" i="12"/>
  <c r="K33" i="12"/>
  <c r="W33" i="12"/>
  <c r="AI33" i="12"/>
  <c r="B40" i="8"/>
  <c r="L33" i="12"/>
  <c r="X33" i="12"/>
  <c r="AJ33" i="12"/>
  <c r="B33" i="12"/>
  <c r="N33" i="12"/>
  <c r="Z33" i="12"/>
  <c r="AL5" i="12"/>
  <c r="B6" i="12"/>
  <c r="D33" i="12"/>
  <c r="P33" i="12"/>
  <c r="AB33" i="12"/>
  <c r="B7" i="12"/>
  <c r="E33" i="12"/>
  <c r="Q33" i="12"/>
  <c r="AC33" i="12"/>
  <c r="F33" i="12"/>
  <c r="R33" i="12"/>
  <c r="AD33" i="12"/>
  <c r="Z29" i="12" l="1"/>
  <c r="N29" i="12"/>
  <c r="B29" i="12"/>
  <c r="AK29" i="12"/>
  <c r="Y29" i="12"/>
  <c r="M29" i="12"/>
  <c r="AJ29" i="12"/>
  <c r="X29" i="12"/>
  <c r="L29" i="12"/>
  <c r="AI29" i="12"/>
  <c r="AI34" i="12" s="1"/>
  <c r="W29" i="12"/>
  <c r="W34" i="12" s="1"/>
  <c r="K29" i="12"/>
  <c r="AH29" i="12"/>
  <c r="V29" i="12"/>
  <c r="J29" i="12"/>
  <c r="AG29" i="12"/>
  <c r="U29" i="12"/>
  <c r="I29" i="12"/>
  <c r="AF29" i="12"/>
  <c r="T29" i="12"/>
  <c r="H29" i="12"/>
  <c r="AD29" i="12"/>
  <c r="AD34" i="12" s="1"/>
  <c r="R29" i="12"/>
  <c r="R34" i="12" s="1"/>
  <c r="F29" i="12"/>
  <c r="F34" i="12" s="1"/>
  <c r="AB29" i="12"/>
  <c r="P29" i="12"/>
  <c r="D29" i="12"/>
  <c r="AA29" i="12"/>
  <c r="O29" i="12"/>
  <c r="C29" i="12"/>
  <c r="G21" i="11"/>
  <c r="F29" i="10"/>
  <c r="AE29" i="12"/>
  <c r="F21" i="11"/>
  <c r="E29" i="10"/>
  <c r="E34" i="10" s="1"/>
  <c r="AC29" i="12"/>
  <c r="E21" i="11"/>
  <c r="D29" i="10"/>
  <c r="S29" i="12"/>
  <c r="D21" i="11"/>
  <c r="C29" i="10"/>
  <c r="Q29" i="12"/>
  <c r="C21" i="11"/>
  <c r="G29" i="12"/>
  <c r="B21" i="11"/>
  <c r="M29" i="10"/>
  <c r="M34" i="10" s="1"/>
  <c r="E29" i="12"/>
  <c r="M21" i="11"/>
  <c r="L29" i="10"/>
  <c r="L21" i="11"/>
  <c r="K29" i="10"/>
  <c r="K21" i="11"/>
  <c r="J29" i="10"/>
  <c r="H21" i="11"/>
  <c r="G29" i="10"/>
  <c r="J21" i="11"/>
  <c r="I21" i="11"/>
  <c r="I29" i="10"/>
  <c r="I34" i="10" s="1"/>
  <c r="H29" i="10"/>
  <c r="B29" i="10"/>
  <c r="B13" i="10"/>
  <c r="C6" i="10"/>
  <c r="B21" i="10"/>
  <c r="B10" i="10"/>
  <c r="B20" i="10"/>
  <c r="F16" i="12"/>
  <c r="G8" i="12"/>
  <c r="B15" i="10"/>
  <c r="B14" i="10"/>
  <c r="C7" i="10"/>
  <c r="C11" i="9"/>
  <c r="C14" i="9" s="1"/>
  <c r="B11" i="9"/>
  <c r="B14" i="9" s="1"/>
  <c r="B18" i="9" s="1"/>
  <c r="AL33" i="12"/>
  <c r="C18" i="9"/>
  <c r="C17" i="9"/>
  <c r="C7" i="12"/>
  <c r="B15" i="12"/>
  <c r="B14" i="12"/>
  <c r="H8" i="10"/>
  <c r="G16" i="10"/>
  <c r="B21" i="12"/>
  <c r="B20" i="12"/>
  <c r="C6" i="12"/>
  <c r="B10" i="12"/>
  <c r="B13" i="12"/>
  <c r="AD38" i="12"/>
  <c r="R38" i="12"/>
  <c r="F38" i="12"/>
  <c r="AC38" i="12"/>
  <c r="Q38" i="12"/>
  <c r="E38" i="12"/>
  <c r="AB38" i="12"/>
  <c r="P38" i="12"/>
  <c r="D38" i="12"/>
  <c r="AA38" i="12"/>
  <c r="O38" i="12"/>
  <c r="C38" i="12"/>
  <c r="Z38" i="12"/>
  <c r="N38" i="12"/>
  <c r="B38" i="12"/>
  <c r="B8" i="14"/>
  <c r="AK38" i="12"/>
  <c r="Y38" i="12"/>
  <c r="M38" i="12"/>
  <c r="AJ38" i="12"/>
  <c r="X38" i="12"/>
  <c r="L38" i="12"/>
  <c r="AH38" i="12"/>
  <c r="V38" i="12"/>
  <c r="J38" i="12"/>
  <c r="AF38" i="12"/>
  <c r="T38" i="12"/>
  <c r="H38" i="12"/>
  <c r="B7" i="13"/>
  <c r="AE38" i="12"/>
  <c r="S38" i="12"/>
  <c r="G38" i="12"/>
  <c r="AG38" i="12"/>
  <c r="J38" i="10"/>
  <c r="W38" i="12"/>
  <c r="I38" i="10"/>
  <c r="U38" i="12"/>
  <c r="H38" i="10"/>
  <c r="B16" i="13"/>
  <c r="K38" i="12"/>
  <c r="G38" i="10"/>
  <c r="I38" i="12"/>
  <c r="E38" i="10"/>
  <c r="D38" i="10"/>
  <c r="C38" i="10"/>
  <c r="N38" i="10"/>
  <c r="B38" i="10"/>
  <c r="AI38" i="12"/>
  <c r="B11" i="11"/>
  <c r="K38" i="10"/>
  <c r="M38" i="10"/>
  <c r="L38" i="10"/>
  <c r="F38" i="10"/>
  <c r="AK30" i="12"/>
  <c r="Y30" i="12"/>
  <c r="M30" i="12"/>
  <c r="AJ30" i="12"/>
  <c r="X30" i="12"/>
  <c r="L30" i="12"/>
  <c r="AI30" i="12"/>
  <c r="W30" i="12"/>
  <c r="K30" i="12"/>
  <c r="AH30" i="12"/>
  <c r="V30" i="12"/>
  <c r="J30" i="12"/>
  <c r="AG30" i="12"/>
  <c r="U30" i="12"/>
  <c r="I30" i="12"/>
  <c r="AF30" i="12"/>
  <c r="T30" i="12"/>
  <c r="H30" i="12"/>
  <c r="AE30" i="12"/>
  <c r="S30" i="12"/>
  <c r="G30" i="12"/>
  <c r="AC30" i="12"/>
  <c r="Q30" i="12"/>
  <c r="E30" i="12"/>
  <c r="AA30" i="12"/>
  <c r="O30" i="12"/>
  <c r="C30" i="12"/>
  <c r="Z30" i="12"/>
  <c r="N30" i="12"/>
  <c r="B30" i="12"/>
  <c r="D30" i="12"/>
  <c r="E30" i="10"/>
  <c r="D30" i="10"/>
  <c r="C30" i="10"/>
  <c r="B30" i="10"/>
  <c r="L30" i="10"/>
  <c r="K30" i="10"/>
  <c r="AD30" i="12"/>
  <c r="J30" i="10"/>
  <c r="AB30" i="12"/>
  <c r="I30" i="10"/>
  <c r="R30" i="12"/>
  <c r="F30" i="12"/>
  <c r="F30" i="10"/>
  <c r="M30" i="10"/>
  <c r="P30" i="12"/>
  <c r="H30" i="10"/>
  <c r="G30" i="10"/>
  <c r="B34" i="10" l="1"/>
  <c r="N29" i="10"/>
  <c r="AC34" i="12"/>
  <c r="K34" i="12"/>
  <c r="N30" i="10"/>
  <c r="AL38" i="12"/>
  <c r="N21" i="11"/>
  <c r="AE34" i="12"/>
  <c r="H34" i="12"/>
  <c r="L34" i="12"/>
  <c r="F34" i="10"/>
  <c r="T34" i="12"/>
  <c r="X34" i="12"/>
  <c r="H34" i="10"/>
  <c r="G16" i="12"/>
  <c r="H8" i="12"/>
  <c r="B17" i="12"/>
  <c r="B22" i="10"/>
  <c r="G34" i="10"/>
  <c r="AF34" i="12"/>
  <c r="AJ34" i="12"/>
  <c r="E34" i="12"/>
  <c r="B23" i="10"/>
  <c r="B22" i="12"/>
  <c r="Q34" i="12"/>
  <c r="C34" i="12"/>
  <c r="I34" i="12"/>
  <c r="M34" i="12"/>
  <c r="C15" i="12"/>
  <c r="D7" i="12"/>
  <c r="C14" i="12"/>
  <c r="J34" i="10"/>
  <c r="C34" i="10"/>
  <c r="O34" i="12"/>
  <c r="U34" i="12"/>
  <c r="Y34" i="12"/>
  <c r="N11" i="11"/>
  <c r="B12" i="11"/>
  <c r="N12" i="11" s="1"/>
  <c r="C24" i="9"/>
  <c r="C25" i="9" s="1"/>
  <c r="C30" i="9" s="1"/>
  <c r="C29" i="9"/>
  <c r="C26" i="9"/>
  <c r="C31" i="9" s="1"/>
  <c r="C21" i="12"/>
  <c r="C20" i="12"/>
  <c r="D6" i="12"/>
  <c r="C13" i="12"/>
  <c r="C17" i="12" s="1"/>
  <c r="C10" i="12"/>
  <c r="C22" i="12" s="1"/>
  <c r="C13" i="10"/>
  <c r="C17" i="10" s="1"/>
  <c r="C10" i="10"/>
  <c r="C22" i="10" s="1"/>
  <c r="D6" i="10"/>
  <c r="C21" i="10"/>
  <c r="C20" i="10"/>
  <c r="C23" i="10" s="1"/>
  <c r="AA34" i="12"/>
  <c r="AG34" i="12"/>
  <c r="AK34" i="12"/>
  <c r="G34" i="12"/>
  <c r="AL30" i="12"/>
  <c r="B17" i="10"/>
  <c r="K34" i="10"/>
  <c r="S34" i="12"/>
  <c r="D34" i="12"/>
  <c r="J34" i="12"/>
  <c r="AL29" i="12"/>
  <c r="B34" i="12"/>
  <c r="B17" i="9"/>
  <c r="D34" i="10"/>
  <c r="P34" i="12"/>
  <c r="V34" i="12"/>
  <c r="N34" i="12"/>
  <c r="H16" i="10"/>
  <c r="I8" i="10"/>
  <c r="C15" i="10"/>
  <c r="C14" i="10"/>
  <c r="D7" i="10"/>
  <c r="L34" i="10"/>
  <c r="AB34" i="12"/>
  <c r="AH34" i="12"/>
  <c r="Z34" i="12"/>
  <c r="D14" i="10" l="1"/>
  <c r="D15" i="10"/>
  <c r="E7" i="10"/>
  <c r="C25" i="12"/>
  <c r="C7" i="14"/>
  <c r="C6" i="13"/>
  <c r="I8" i="12"/>
  <c r="H16" i="12"/>
  <c r="B7" i="14"/>
  <c r="B6" i="13"/>
  <c r="C23" i="12"/>
  <c r="AL34" i="12"/>
  <c r="N34" i="10"/>
  <c r="D21" i="12"/>
  <c r="D20" i="12"/>
  <c r="E6" i="12"/>
  <c r="D13" i="12"/>
  <c r="D10" i="12"/>
  <c r="D22" i="12" s="1"/>
  <c r="I16" i="10"/>
  <c r="J8" i="10"/>
  <c r="C6" i="11"/>
  <c r="C25" i="10"/>
  <c r="B23" i="12"/>
  <c r="B24" i="9"/>
  <c r="B25" i="9" s="1"/>
  <c r="B30" i="9" s="1"/>
  <c r="B29" i="9"/>
  <c r="B26" i="9"/>
  <c r="B31" i="9" s="1"/>
  <c r="D15" i="12"/>
  <c r="D14" i="12"/>
  <c r="E7" i="12"/>
  <c r="D13" i="10"/>
  <c r="D10" i="10"/>
  <c r="E6" i="10"/>
  <c r="D21" i="10"/>
  <c r="D20" i="10"/>
  <c r="B6" i="11"/>
  <c r="B25" i="10"/>
  <c r="I16" i="12" l="1"/>
  <c r="J8" i="12"/>
  <c r="E13" i="10"/>
  <c r="E17" i="10" s="1"/>
  <c r="E10" i="10"/>
  <c r="E22" i="10" s="1"/>
  <c r="E21" i="10"/>
  <c r="E20" i="10"/>
  <c r="E23" i="10" s="1"/>
  <c r="F6" i="10"/>
  <c r="F7" i="10"/>
  <c r="E14" i="10"/>
  <c r="E15" i="10"/>
  <c r="C26" i="12"/>
  <c r="C36" i="12"/>
  <c r="D22" i="10"/>
  <c r="D23" i="10" s="1"/>
  <c r="D17" i="10"/>
  <c r="K8" i="10"/>
  <c r="J16" i="10"/>
  <c r="E15" i="12"/>
  <c r="E14" i="12"/>
  <c r="F7" i="12"/>
  <c r="C26" i="10"/>
  <c r="C36" i="10"/>
  <c r="B26" i="10"/>
  <c r="B36" i="10"/>
  <c r="D17" i="12"/>
  <c r="B25" i="12"/>
  <c r="D23" i="12"/>
  <c r="E20" i="12"/>
  <c r="E21" i="12"/>
  <c r="E13" i="12"/>
  <c r="E10" i="12"/>
  <c r="F6" i="12"/>
  <c r="E17" i="12" l="1"/>
  <c r="C5" i="11"/>
  <c r="C39" i="10"/>
  <c r="C37" i="10"/>
  <c r="F15" i="12"/>
  <c r="F14" i="12"/>
  <c r="G7" i="12"/>
  <c r="B26" i="12"/>
  <c r="B36" i="12"/>
  <c r="E25" i="10"/>
  <c r="E6" i="11"/>
  <c r="D25" i="12"/>
  <c r="D7" i="14"/>
  <c r="D6" i="13"/>
  <c r="C39" i="12"/>
  <c r="C4" i="14"/>
  <c r="C37" i="12"/>
  <c r="C4" i="13"/>
  <c r="C8" i="13" s="1"/>
  <c r="J16" i="12"/>
  <c r="K8" i="12"/>
  <c r="B5" i="11"/>
  <c r="B39" i="10"/>
  <c r="B37" i="10"/>
  <c r="K16" i="10"/>
  <c r="L8" i="10"/>
  <c r="F21" i="12"/>
  <c r="F20" i="12"/>
  <c r="F13" i="12"/>
  <c r="F10" i="12"/>
  <c r="F22" i="12" s="1"/>
  <c r="G6" i="12"/>
  <c r="G7" i="10"/>
  <c r="F15" i="10"/>
  <c r="F14" i="10"/>
  <c r="E22" i="12"/>
  <c r="D6" i="11"/>
  <c r="D25" i="10"/>
  <c r="F10" i="10"/>
  <c r="G6" i="10"/>
  <c r="F21" i="10"/>
  <c r="F20" i="10"/>
  <c r="F13" i="10"/>
  <c r="F17" i="10" s="1"/>
  <c r="B40" i="10" l="1"/>
  <c r="D36" i="12"/>
  <c r="D26" i="12"/>
  <c r="H7" i="10"/>
  <c r="G15" i="10"/>
  <c r="G14" i="10"/>
  <c r="G21" i="12"/>
  <c r="G20" i="12"/>
  <c r="G13" i="12"/>
  <c r="G10" i="12"/>
  <c r="G22" i="12" s="1"/>
  <c r="H6" i="12"/>
  <c r="H6" i="10"/>
  <c r="G20" i="10"/>
  <c r="G10" i="10"/>
  <c r="G22" i="10" s="1"/>
  <c r="G21" i="10"/>
  <c r="G13" i="10"/>
  <c r="F23" i="12"/>
  <c r="F22" i="10"/>
  <c r="F17" i="12"/>
  <c r="B39" i="12"/>
  <c r="B4" i="14"/>
  <c r="B37" i="12"/>
  <c r="B4" i="13"/>
  <c r="B8" i="13" s="1"/>
  <c r="C40" i="12"/>
  <c r="C41" i="12" s="1"/>
  <c r="C42" i="12" s="1"/>
  <c r="C5" i="14"/>
  <c r="C10" i="14" s="1"/>
  <c r="K16" i="12"/>
  <c r="L8" i="12"/>
  <c r="E23" i="12"/>
  <c r="F6" i="11"/>
  <c r="C40" i="10"/>
  <c r="B7" i="11" s="1"/>
  <c r="C41" i="10"/>
  <c r="C42" i="10" s="1"/>
  <c r="E26" i="10"/>
  <c r="E36" i="10"/>
  <c r="D26" i="10"/>
  <c r="D36" i="10"/>
  <c r="E7" i="14"/>
  <c r="E6" i="13"/>
  <c r="L16" i="10"/>
  <c r="M8" i="10"/>
  <c r="M16" i="10" s="1"/>
  <c r="N16" i="10" s="1"/>
  <c r="G15" i="12"/>
  <c r="G14" i="12"/>
  <c r="H7" i="12"/>
  <c r="L16" i="12" l="1"/>
  <c r="M8" i="12"/>
  <c r="D5" i="11"/>
  <c r="D39" i="10"/>
  <c r="D37" i="10"/>
  <c r="G17" i="10"/>
  <c r="N8" i="10"/>
  <c r="B40" i="12"/>
  <c r="B5" i="14"/>
  <c r="B10" i="14" s="1"/>
  <c r="G23" i="10"/>
  <c r="D39" i="12"/>
  <c r="D4" i="14"/>
  <c r="D37" i="12"/>
  <c r="D4" i="13"/>
  <c r="D8" i="13" s="1"/>
  <c r="I6" i="10"/>
  <c r="H21" i="10"/>
  <c r="H10" i="10"/>
  <c r="H22" i="10" s="1"/>
  <c r="H20" i="10"/>
  <c r="H13" i="10"/>
  <c r="F7" i="14"/>
  <c r="F25" i="12"/>
  <c r="F6" i="13"/>
  <c r="B41" i="10"/>
  <c r="H15" i="12"/>
  <c r="H14" i="12"/>
  <c r="I7" i="12"/>
  <c r="I7" i="10"/>
  <c r="H15" i="10"/>
  <c r="H14" i="10"/>
  <c r="E5" i="11"/>
  <c r="E37" i="10"/>
  <c r="E39" i="10"/>
  <c r="E25" i="12"/>
  <c r="B8" i="11"/>
  <c r="G17" i="12"/>
  <c r="F23" i="10"/>
  <c r="H20" i="12"/>
  <c r="H21" i="12"/>
  <c r="H13" i="12"/>
  <c r="H10" i="12"/>
  <c r="I6" i="12"/>
  <c r="G23" i="12"/>
  <c r="G25" i="10" l="1"/>
  <c r="G6" i="11"/>
  <c r="J6" i="10"/>
  <c r="I21" i="10"/>
  <c r="I20" i="10"/>
  <c r="I13" i="10"/>
  <c r="I10" i="10"/>
  <c r="I22" i="10" s="1"/>
  <c r="E36" i="12"/>
  <c r="E26" i="12"/>
  <c r="D40" i="12"/>
  <c r="D5" i="14"/>
  <c r="D10" i="14" s="1"/>
  <c r="D41" i="12"/>
  <c r="D42" i="12" s="1"/>
  <c r="G7" i="14"/>
  <c r="G6" i="13"/>
  <c r="G25" i="12"/>
  <c r="I21" i="12"/>
  <c r="I20" i="12"/>
  <c r="I13" i="12"/>
  <c r="I17" i="12" s="1"/>
  <c r="I10" i="12"/>
  <c r="I22" i="12" s="1"/>
  <c r="J6" i="12"/>
  <c r="H22" i="12"/>
  <c r="D8" i="11"/>
  <c r="D19" i="11" s="1"/>
  <c r="N8" i="12"/>
  <c r="M16" i="12"/>
  <c r="H17" i="12"/>
  <c r="F36" i="12"/>
  <c r="F26" i="12"/>
  <c r="E40" i="10"/>
  <c r="D7" i="11" s="1"/>
  <c r="I15" i="10"/>
  <c r="I14" i="10"/>
  <c r="J7" i="10"/>
  <c r="H17" i="10"/>
  <c r="B19" i="11"/>
  <c r="B42" i="10"/>
  <c r="D40" i="10"/>
  <c r="H23" i="12"/>
  <c r="F25" i="10"/>
  <c r="I15" i="12"/>
  <c r="I14" i="12"/>
  <c r="J7" i="12"/>
  <c r="H23" i="10"/>
  <c r="B41" i="12"/>
  <c r="J15" i="10" l="1"/>
  <c r="J14" i="10"/>
  <c r="K7" i="10"/>
  <c r="I17" i="10"/>
  <c r="C7" i="11"/>
  <c r="I23" i="10"/>
  <c r="J21" i="10"/>
  <c r="J20" i="10"/>
  <c r="J13" i="10"/>
  <c r="J10" i="10"/>
  <c r="J22" i="10" s="1"/>
  <c r="K6" i="10"/>
  <c r="E41" i="10"/>
  <c r="E42" i="10" s="1"/>
  <c r="I23" i="12"/>
  <c r="I25" i="12" s="1"/>
  <c r="G26" i="10"/>
  <c r="G36" i="10"/>
  <c r="B42" i="12"/>
  <c r="J20" i="12"/>
  <c r="J13" i="12"/>
  <c r="J10" i="12"/>
  <c r="J22" i="12" s="1"/>
  <c r="J21" i="12"/>
  <c r="K6" i="12"/>
  <c r="G36" i="12"/>
  <c r="G26" i="12"/>
  <c r="D41" i="10"/>
  <c r="J15" i="12"/>
  <c r="J14" i="12"/>
  <c r="K7" i="12"/>
  <c r="I6" i="13"/>
  <c r="I7" i="14"/>
  <c r="H6" i="13"/>
  <c r="H25" i="12"/>
  <c r="H7" i="14"/>
  <c r="E39" i="12"/>
  <c r="E4" i="14"/>
  <c r="E37" i="12"/>
  <c r="E4" i="13"/>
  <c r="E8" i="13" s="1"/>
  <c r="F4" i="14"/>
  <c r="F37" i="12"/>
  <c r="F39" i="12"/>
  <c r="F4" i="13"/>
  <c r="F8" i="13" s="1"/>
  <c r="B20" i="11"/>
  <c r="F26" i="10"/>
  <c r="F36" i="10"/>
  <c r="H25" i="10"/>
  <c r="H6" i="11"/>
  <c r="N16" i="12"/>
  <c r="O8" i="12"/>
  <c r="I26" i="12" l="1"/>
  <c r="I36" i="12"/>
  <c r="C8" i="11"/>
  <c r="E5" i="14"/>
  <c r="E40" i="12"/>
  <c r="E10" i="14"/>
  <c r="G4" i="14"/>
  <c r="G37" i="12"/>
  <c r="G4" i="13"/>
  <c r="G8" i="13" s="1"/>
  <c r="G39" i="12"/>
  <c r="K14" i="10"/>
  <c r="K15" i="10"/>
  <c r="L7" i="10"/>
  <c r="H36" i="12"/>
  <c r="H26" i="12"/>
  <c r="K21" i="10"/>
  <c r="K20" i="10"/>
  <c r="K23" i="10" s="1"/>
  <c r="K13" i="10"/>
  <c r="K17" i="10" s="1"/>
  <c r="K10" i="10"/>
  <c r="K22" i="10" s="1"/>
  <c r="L6" i="10"/>
  <c r="J17" i="12"/>
  <c r="J17" i="10"/>
  <c r="G39" i="10"/>
  <c r="G37" i="10"/>
  <c r="G5" i="11"/>
  <c r="F5" i="14"/>
  <c r="F10" i="14" s="1"/>
  <c r="F40" i="12"/>
  <c r="F41" i="12" s="1"/>
  <c r="F42" i="12" s="1"/>
  <c r="O16" i="12"/>
  <c r="P8" i="12"/>
  <c r="H26" i="10"/>
  <c r="H36" i="10"/>
  <c r="J23" i="12"/>
  <c r="J23" i="10"/>
  <c r="F39" i="10"/>
  <c r="F37" i="10"/>
  <c r="F5" i="11"/>
  <c r="D42" i="10"/>
  <c r="I6" i="11"/>
  <c r="I25" i="10"/>
  <c r="K21" i="12"/>
  <c r="K20" i="12"/>
  <c r="K13" i="12"/>
  <c r="K10" i="12"/>
  <c r="K22" i="12" s="1"/>
  <c r="L6" i="12"/>
  <c r="K15" i="12"/>
  <c r="K14" i="12"/>
  <c r="L7" i="12"/>
  <c r="G40" i="10" l="1"/>
  <c r="F7" i="11" s="1"/>
  <c r="J6" i="11"/>
  <c r="J25" i="10"/>
  <c r="F8" i="11"/>
  <c r="F19" i="11" s="1"/>
  <c r="C19" i="11"/>
  <c r="G5" i="14"/>
  <c r="G10" i="14" s="1"/>
  <c r="G40" i="12"/>
  <c r="G41" i="12" s="1"/>
  <c r="G42" i="12" s="1"/>
  <c r="L20" i="12"/>
  <c r="L13" i="12"/>
  <c r="L10" i="12"/>
  <c r="L22" i="12" s="1"/>
  <c r="L21" i="12"/>
  <c r="M6" i="12"/>
  <c r="K17" i="12"/>
  <c r="L15" i="10"/>
  <c r="M7" i="10"/>
  <c r="L14" i="10"/>
  <c r="H39" i="10"/>
  <c r="H37" i="10"/>
  <c r="H5" i="11"/>
  <c r="F40" i="10"/>
  <c r="H4" i="13"/>
  <c r="H8" i="13" s="1"/>
  <c r="H4" i="14"/>
  <c r="H37" i="12"/>
  <c r="H39" i="12"/>
  <c r="J6" i="13"/>
  <c r="J25" i="12"/>
  <c r="J7" i="14"/>
  <c r="P16" i="12"/>
  <c r="Q8" i="12"/>
  <c r="L15" i="12"/>
  <c r="M7" i="12"/>
  <c r="L14" i="12"/>
  <c r="L20" i="10"/>
  <c r="L13" i="10"/>
  <c r="L10" i="10"/>
  <c r="L22" i="10" s="1"/>
  <c r="L21" i="10"/>
  <c r="M6" i="10"/>
  <c r="I4" i="13"/>
  <c r="I8" i="13" s="1"/>
  <c r="I39" i="12"/>
  <c r="I4" i="14"/>
  <c r="I37" i="12"/>
  <c r="K6" i="11"/>
  <c r="K25" i="10"/>
  <c r="E41" i="12"/>
  <c r="K23" i="12"/>
  <c r="I36" i="10"/>
  <c r="I26" i="10"/>
  <c r="L17" i="10" l="1"/>
  <c r="C20" i="11"/>
  <c r="I39" i="10"/>
  <c r="I37" i="10"/>
  <c r="I5" i="11"/>
  <c r="L23" i="10"/>
  <c r="L17" i="12"/>
  <c r="M21" i="12"/>
  <c r="M20" i="12"/>
  <c r="M10" i="12"/>
  <c r="M22" i="12" s="1"/>
  <c r="N6" i="12"/>
  <c r="M13" i="12"/>
  <c r="N7" i="12"/>
  <c r="M15" i="12"/>
  <c r="M14" i="12"/>
  <c r="G41" i="10"/>
  <c r="G42" i="10" s="1"/>
  <c r="M10" i="10"/>
  <c r="M20" i="10"/>
  <c r="M21" i="10"/>
  <c r="N21" i="10" s="1"/>
  <c r="M13" i="10"/>
  <c r="N6" i="10"/>
  <c r="E7" i="11"/>
  <c r="F41" i="10"/>
  <c r="Q16" i="12"/>
  <c r="R8" i="12"/>
  <c r="H40" i="10"/>
  <c r="G7" i="11" s="1"/>
  <c r="G8" i="11" s="1"/>
  <c r="G19" i="11" s="1"/>
  <c r="H41" i="10"/>
  <c r="H42" i="10" s="1"/>
  <c r="M15" i="10"/>
  <c r="N15" i="10" s="1"/>
  <c r="M14" i="10"/>
  <c r="N14" i="10" s="1"/>
  <c r="N7" i="10"/>
  <c r="H40" i="12"/>
  <c r="H5" i="14"/>
  <c r="H10" i="14" s="1"/>
  <c r="H41" i="12"/>
  <c r="H42" i="12" s="1"/>
  <c r="K6" i="13"/>
  <c r="K25" i="12"/>
  <c r="K7" i="14"/>
  <c r="E42" i="12"/>
  <c r="K36" i="10"/>
  <c r="K26" i="10"/>
  <c r="J36" i="10"/>
  <c r="J26" i="10"/>
  <c r="L23" i="12"/>
  <c r="I5" i="14"/>
  <c r="I10" i="14" s="1"/>
  <c r="I40" i="12"/>
  <c r="I41" i="12" s="1"/>
  <c r="J26" i="12"/>
  <c r="J36" i="12"/>
  <c r="I42" i="12" l="1"/>
  <c r="M23" i="10"/>
  <c r="N23" i="10" s="1"/>
  <c r="N20" i="10"/>
  <c r="L6" i="13"/>
  <c r="L25" i="12"/>
  <c r="L7" i="14"/>
  <c r="D20" i="11"/>
  <c r="F42" i="10"/>
  <c r="M17" i="12"/>
  <c r="K26" i="12"/>
  <c r="K36" i="12"/>
  <c r="N21" i="12"/>
  <c r="N20" i="12"/>
  <c r="O6" i="12"/>
  <c r="N10" i="12"/>
  <c r="N22" i="12" s="1"/>
  <c r="N13" i="12"/>
  <c r="N17" i="12" s="1"/>
  <c r="L25" i="10"/>
  <c r="L6" i="11"/>
  <c r="M22" i="10"/>
  <c r="N22" i="10" s="1"/>
  <c r="N10" i="10"/>
  <c r="R16" i="12"/>
  <c r="S8" i="12"/>
  <c r="O7" i="12"/>
  <c r="N14" i="12"/>
  <c r="N15" i="12"/>
  <c r="J4" i="13"/>
  <c r="J8" i="13" s="1"/>
  <c r="J4" i="14"/>
  <c r="J39" i="12"/>
  <c r="J37" i="12"/>
  <c r="I40" i="10"/>
  <c r="H7" i="11" s="1"/>
  <c r="H8" i="11" s="1"/>
  <c r="H19" i="11" s="1"/>
  <c r="I41" i="10"/>
  <c r="I42" i="10" s="1"/>
  <c r="J37" i="10"/>
  <c r="J5" i="11"/>
  <c r="J39" i="10"/>
  <c r="E8" i="11"/>
  <c r="K37" i="10"/>
  <c r="K5" i="11"/>
  <c r="K39" i="10"/>
  <c r="M17" i="10"/>
  <c r="N13" i="10"/>
  <c r="M23" i="12"/>
  <c r="O21" i="12" l="1"/>
  <c r="O20" i="12"/>
  <c r="P6" i="12"/>
  <c r="O13" i="12"/>
  <c r="O10" i="12"/>
  <c r="O22" i="12" s="1"/>
  <c r="J40" i="10"/>
  <c r="I7" i="11" s="1"/>
  <c r="J41" i="10"/>
  <c r="J42" i="10" s="1"/>
  <c r="L26" i="12"/>
  <c r="L36" i="12"/>
  <c r="S16" i="12"/>
  <c r="T8" i="12"/>
  <c r="N23" i="12"/>
  <c r="L36" i="10"/>
  <c r="L26" i="10"/>
  <c r="J40" i="12"/>
  <c r="J41" i="12" s="1"/>
  <c r="J5" i="14"/>
  <c r="J10" i="14" s="1"/>
  <c r="O15" i="12"/>
  <c r="P7" i="12"/>
  <c r="O14" i="12"/>
  <c r="K40" i="10"/>
  <c r="J7" i="11" s="1"/>
  <c r="M6" i="13"/>
  <c r="M25" i="12"/>
  <c r="M7" i="14"/>
  <c r="B5" i="16"/>
  <c r="N25" i="12"/>
  <c r="N7" i="14"/>
  <c r="N6" i="13"/>
  <c r="E19" i="11"/>
  <c r="J8" i="11"/>
  <c r="J19" i="11" s="1"/>
  <c r="M6" i="11"/>
  <c r="N6" i="11" s="1"/>
  <c r="M25" i="10"/>
  <c r="N17" i="10"/>
  <c r="K4" i="13"/>
  <c r="K8" i="13" s="1"/>
  <c r="K39" i="12"/>
  <c r="K4" i="14"/>
  <c r="K37" i="12"/>
  <c r="J42" i="12" l="1"/>
  <c r="K40" i="12"/>
  <c r="K41" i="12" s="1"/>
  <c r="K5" i="14"/>
  <c r="K10" i="14" s="1"/>
  <c r="M26" i="10"/>
  <c r="M36" i="10"/>
  <c r="I8" i="11"/>
  <c r="M26" i="12"/>
  <c r="M36" i="12"/>
  <c r="B10" i="1"/>
  <c r="B20" i="16" s="1"/>
  <c r="O17" i="12"/>
  <c r="T16" i="12"/>
  <c r="U8" i="12"/>
  <c r="N25" i="10"/>
  <c r="N26" i="10" s="1"/>
  <c r="L5" i="11"/>
  <c r="L37" i="10"/>
  <c r="L39" i="10"/>
  <c r="P21" i="12"/>
  <c r="P20" i="12"/>
  <c r="Q6" i="12"/>
  <c r="P13" i="12"/>
  <c r="P10" i="12"/>
  <c r="P22" i="12" s="1"/>
  <c r="P14" i="12"/>
  <c r="P15" i="12"/>
  <c r="Q7" i="12"/>
  <c r="L4" i="13"/>
  <c r="L8" i="13" s="1"/>
  <c r="L39" i="12"/>
  <c r="L4" i="14"/>
  <c r="L37" i="12"/>
  <c r="N26" i="12"/>
  <c r="N36" i="12"/>
  <c r="E20" i="11"/>
  <c r="O23" i="12"/>
  <c r="K41" i="10"/>
  <c r="K42" i="12" l="1"/>
  <c r="I19" i="11"/>
  <c r="M39" i="10"/>
  <c r="M37" i="10"/>
  <c r="M5" i="11"/>
  <c r="N36" i="10"/>
  <c r="N37" i="10" s="1"/>
  <c r="U16" i="12"/>
  <c r="V8" i="12"/>
  <c r="L40" i="10"/>
  <c r="K7" i="11" s="1"/>
  <c r="K8" i="11" s="1"/>
  <c r="K19" i="11" s="1"/>
  <c r="L40" i="12"/>
  <c r="L41" i="12" s="1"/>
  <c r="L42" i="12" s="1"/>
  <c r="L5" i="14"/>
  <c r="L10" i="14" s="1"/>
  <c r="F20" i="11"/>
  <c r="G20" i="11" s="1"/>
  <c r="H20" i="11" s="1"/>
  <c r="I20" i="11" s="1"/>
  <c r="J20" i="11" s="1"/>
  <c r="K20" i="11" s="1"/>
  <c r="Q20" i="12"/>
  <c r="Q21" i="12"/>
  <c r="Q13" i="12"/>
  <c r="Q17" i="12" s="1"/>
  <c r="Q10" i="12"/>
  <c r="Q22" i="12" s="1"/>
  <c r="R6" i="12"/>
  <c r="M4" i="13"/>
  <c r="M8" i="13" s="1"/>
  <c r="M39" i="12"/>
  <c r="M4" i="14"/>
  <c r="M37" i="12"/>
  <c r="B13" i="1"/>
  <c r="C5" i="16"/>
  <c r="Q14" i="12"/>
  <c r="Q15" i="12"/>
  <c r="R7" i="12"/>
  <c r="K42" i="10"/>
  <c r="O25" i="12"/>
  <c r="O7" i="14"/>
  <c r="O6" i="13"/>
  <c r="P17" i="12"/>
  <c r="N39" i="12"/>
  <c r="N4" i="14"/>
  <c r="N37" i="12"/>
  <c r="N4" i="13"/>
  <c r="N8" i="13" s="1"/>
  <c r="P23" i="12"/>
  <c r="V16" i="12" l="1"/>
  <c r="W8" i="12"/>
  <c r="R15" i="12"/>
  <c r="R14" i="12"/>
  <c r="S7" i="12"/>
  <c r="Q7" i="14"/>
  <c r="Q6" i="13"/>
  <c r="Q25" i="12"/>
  <c r="N5" i="11"/>
  <c r="R21" i="12"/>
  <c r="R13" i="12"/>
  <c r="R10" i="12"/>
  <c r="R22" i="12" s="1"/>
  <c r="R20" i="12"/>
  <c r="R23" i="12" s="1"/>
  <c r="S6" i="12"/>
  <c r="Q23" i="12"/>
  <c r="O26" i="12"/>
  <c r="O36" i="12"/>
  <c r="N40" i="12"/>
  <c r="N41" i="12" s="1"/>
  <c r="N5" i="14"/>
  <c r="N10" i="14" s="1"/>
  <c r="M41" i="10"/>
  <c r="M40" i="10"/>
  <c r="N39" i="10"/>
  <c r="P25" i="12"/>
  <c r="P7" i="14"/>
  <c r="P6" i="13"/>
  <c r="M40" i="12"/>
  <c r="M41" i="12" s="1"/>
  <c r="M5" i="14"/>
  <c r="M10" i="14" s="1"/>
  <c r="L41" i="10"/>
  <c r="L42" i="10" s="1"/>
  <c r="N42" i="12" l="1"/>
  <c r="M42" i="12"/>
  <c r="B16" i="1"/>
  <c r="D5" i="16"/>
  <c r="Q36" i="12"/>
  <c r="Q26" i="12"/>
  <c r="S15" i="12"/>
  <c r="S14" i="12"/>
  <c r="T7" i="12"/>
  <c r="P36" i="12"/>
  <c r="P26" i="12"/>
  <c r="L7" i="11"/>
  <c r="L8" i="11" s="1"/>
  <c r="N40" i="10"/>
  <c r="M7" i="11" s="1"/>
  <c r="R17" i="12"/>
  <c r="S21" i="12"/>
  <c r="S20" i="12"/>
  <c r="S23" i="12" s="1"/>
  <c r="S13" i="12"/>
  <c r="S10" i="12"/>
  <c r="S22" i="12" s="1"/>
  <c r="T6" i="12"/>
  <c r="W16" i="12"/>
  <c r="X8" i="12"/>
  <c r="O39" i="12"/>
  <c r="O4" i="14"/>
  <c r="O37" i="12"/>
  <c r="O4" i="13"/>
  <c r="O8" i="13" s="1"/>
  <c r="M42" i="10"/>
  <c r="N41" i="10"/>
  <c r="N42" i="10" s="1"/>
  <c r="O40" i="12" l="1"/>
  <c r="O41" i="12" s="1"/>
  <c r="O5" i="14"/>
  <c r="P39" i="12"/>
  <c r="P4" i="14"/>
  <c r="P37" i="12"/>
  <c r="P4" i="13"/>
  <c r="P8" i="13" s="1"/>
  <c r="T20" i="12"/>
  <c r="T21" i="12"/>
  <c r="T13" i="12"/>
  <c r="T17" i="12" s="1"/>
  <c r="T10" i="12"/>
  <c r="T22" i="12" s="1"/>
  <c r="U6" i="12"/>
  <c r="Q39" i="12"/>
  <c r="Q4" i="14"/>
  <c r="Q37" i="12"/>
  <c r="Q4" i="13"/>
  <c r="Q8" i="13" s="1"/>
  <c r="X16" i="12"/>
  <c r="Y8" i="12"/>
  <c r="S17" i="12"/>
  <c r="F5" i="16"/>
  <c r="E5" i="16"/>
  <c r="R7" i="14"/>
  <c r="R25" i="12"/>
  <c r="R6" i="13"/>
  <c r="L19" i="11"/>
  <c r="L20" i="11" s="1"/>
  <c r="T15" i="12"/>
  <c r="T14" i="12"/>
  <c r="U7" i="12"/>
  <c r="N7" i="11"/>
  <c r="M8" i="11"/>
  <c r="M19" i="11" s="1"/>
  <c r="N19" i="11" s="1"/>
  <c r="O10" i="14"/>
  <c r="O42" i="12" l="1"/>
  <c r="U21" i="12"/>
  <c r="U20" i="12"/>
  <c r="U13" i="12"/>
  <c r="U17" i="12" s="1"/>
  <c r="U10" i="12"/>
  <c r="U22" i="12" s="1"/>
  <c r="V6" i="12"/>
  <c r="P40" i="12"/>
  <c r="P5" i="14"/>
  <c r="P41" i="12"/>
  <c r="P42" i="12" s="1"/>
  <c r="T6" i="13"/>
  <c r="T7" i="14"/>
  <c r="U14" i="12"/>
  <c r="V7" i="12"/>
  <c r="U15" i="12"/>
  <c r="S7" i="14"/>
  <c r="S6" i="13"/>
  <c r="S25" i="12"/>
  <c r="T23" i="12"/>
  <c r="T25" i="12" s="1"/>
  <c r="Z8" i="12"/>
  <c r="Y16" i="12"/>
  <c r="P10" i="14"/>
  <c r="M20" i="11"/>
  <c r="N20" i="11"/>
  <c r="R36" i="12"/>
  <c r="R26" i="12"/>
  <c r="N8" i="11"/>
  <c r="Q5" i="14"/>
  <c r="Q10" i="14" s="1"/>
  <c r="Q40" i="12"/>
  <c r="Q41" i="12" s="1"/>
  <c r="Q42" i="12" s="1"/>
  <c r="T36" i="12" l="1"/>
  <c r="T26" i="12"/>
  <c r="V20" i="12"/>
  <c r="V21" i="12"/>
  <c r="V13" i="12"/>
  <c r="V17" i="12" s="1"/>
  <c r="V10" i="12"/>
  <c r="V22" i="12" s="1"/>
  <c r="W6" i="12"/>
  <c r="U6" i="13"/>
  <c r="U7" i="14"/>
  <c r="U25" i="12"/>
  <c r="V15" i="12"/>
  <c r="V14" i="12"/>
  <c r="W7" i="12"/>
  <c r="Z16" i="12"/>
  <c r="AA8" i="12"/>
  <c r="S36" i="12"/>
  <c r="S26" i="12"/>
  <c r="U23" i="12"/>
  <c r="R4" i="14"/>
  <c r="R37" i="12"/>
  <c r="R39" i="12"/>
  <c r="R4" i="13"/>
  <c r="R8" i="13" s="1"/>
  <c r="R5" i="14" l="1"/>
  <c r="R40" i="12"/>
  <c r="R41" i="12"/>
  <c r="W21" i="12"/>
  <c r="W13" i="12"/>
  <c r="W10" i="12"/>
  <c r="W22" i="12" s="1"/>
  <c r="X6" i="12"/>
  <c r="W20" i="12"/>
  <c r="W23" i="12" s="1"/>
  <c r="V23" i="12"/>
  <c r="V25" i="12" s="1"/>
  <c r="U26" i="12"/>
  <c r="U36" i="12"/>
  <c r="S4" i="14"/>
  <c r="S37" i="12"/>
  <c r="S4" i="13"/>
  <c r="S8" i="13" s="1"/>
  <c r="S39" i="12"/>
  <c r="V6" i="13"/>
  <c r="V7" i="14"/>
  <c r="W15" i="12"/>
  <c r="W14" i="12"/>
  <c r="X7" i="12"/>
  <c r="AA16" i="12"/>
  <c r="AB8" i="12"/>
  <c r="T4" i="13"/>
  <c r="T8" i="13" s="1"/>
  <c r="T4" i="14"/>
  <c r="T37" i="12"/>
  <c r="T39" i="12"/>
  <c r="R10" i="14"/>
  <c r="V26" i="12" l="1"/>
  <c r="V36" i="12"/>
  <c r="U4" i="13"/>
  <c r="U8" i="13" s="1"/>
  <c r="U39" i="12"/>
  <c r="U4" i="14"/>
  <c r="U37" i="12"/>
  <c r="S5" i="14"/>
  <c r="S10" i="14" s="1"/>
  <c r="S40" i="12"/>
  <c r="S41" i="12" s="1"/>
  <c r="R42" i="12"/>
  <c r="X14" i="12"/>
  <c r="Y7" i="12"/>
  <c r="X15" i="12"/>
  <c r="W17" i="12"/>
  <c r="T40" i="12"/>
  <c r="T41" i="12" s="1"/>
  <c r="T42" i="12" s="1"/>
  <c r="T5" i="14"/>
  <c r="T10" i="14"/>
  <c r="AB16" i="12"/>
  <c r="AC8" i="12"/>
  <c r="X20" i="12"/>
  <c r="X23" i="12" s="1"/>
  <c r="X21" i="12"/>
  <c r="X13" i="12"/>
  <c r="X10" i="12"/>
  <c r="X22" i="12" s="1"/>
  <c r="Y6" i="12"/>
  <c r="S42" i="12" l="1"/>
  <c r="AC16" i="12"/>
  <c r="AD8" i="12"/>
  <c r="U5" i="14"/>
  <c r="U10" i="14" s="1"/>
  <c r="U40" i="12"/>
  <c r="U41" i="12" s="1"/>
  <c r="U42" i="12" s="1"/>
  <c r="W6" i="13"/>
  <c r="W25" i="12"/>
  <c r="W7" i="14"/>
  <c r="Y21" i="12"/>
  <c r="Y10" i="12"/>
  <c r="Y22" i="12" s="1"/>
  <c r="Z6" i="12"/>
  <c r="Y20" i="12"/>
  <c r="Y13" i="12"/>
  <c r="Y14" i="12"/>
  <c r="Z7" i="12"/>
  <c r="Y15" i="12"/>
  <c r="X17" i="12"/>
  <c r="V4" i="13"/>
  <c r="V8" i="13" s="1"/>
  <c r="V4" i="14"/>
  <c r="V39" i="12"/>
  <c r="V37" i="12"/>
  <c r="W26" i="12" l="1"/>
  <c r="W36" i="12"/>
  <c r="AD16" i="12"/>
  <c r="AE8" i="12"/>
  <c r="Y17" i="12"/>
  <c r="Y23" i="12"/>
  <c r="X6" i="13"/>
  <c r="X25" i="12"/>
  <c r="X7" i="14"/>
  <c r="Z21" i="12"/>
  <c r="Z20" i="12"/>
  <c r="Z23" i="12" s="1"/>
  <c r="AA6" i="12"/>
  <c r="Z10" i="12"/>
  <c r="Z22" i="12" s="1"/>
  <c r="Z13" i="12"/>
  <c r="V40" i="12"/>
  <c r="V41" i="12" s="1"/>
  <c r="V42" i="12" s="1"/>
  <c r="V5" i="14"/>
  <c r="V10" i="14" s="1"/>
  <c r="AA7" i="12"/>
  <c r="Z15" i="12"/>
  <c r="Z14" i="12"/>
  <c r="X26" i="12" l="1"/>
  <c r="X36" i="12"/>
  <c r="AA15" i="12"/>
  <c r="AB7" i="12"/>
  <c r="AA14" i="12"/>
  <c r="Y6" i="13"/>
  <c r="Y25" i="12"/>
  <c r="Y7" i="14"/>
  <c r="Z17" i="12"/>
  <c r="AE16" i="12"/>
  <c r="AF8" i="12"/>
  <c r="W4" i="13"/>
  <c r="W8" i="13" s="1"/>
  <c r="W39" i="12"/>
  <c r="W4" i="14"/>
  <c r="W37" i="12"/>
  <c r="AA21" i="12"/>
  <c r="AA20" i="12"/>
  <c r="AB6" i="12"/>
  <c r="AA13" i="12"/>
  <c r="AA17" i="12" s="1"/>
  <c r="AA10" i="12"/>
  <c r="AA22" i="12" s="1"/>
  <c r="Z25" i="12" l="1"/>
  <c r="Z7" i="14"/>
  <c r="Z6" i="13"/>
  <c r="B6" i="16"/>
  <c r="AA7" i="14"/>
  <c r="AA6" i="13"/>
  <c r="Y26" i="12"/>
  <c r="Y36" i="12"/>
  <c r="AA23" i="12"/>
  <c r="AA25" i="12" s="1"/>
  <c r="AF16" i="12"/>
  <c r="AG8" i="12"/>
  <c r="AB14" i="12"/>
  <c r="AB15" i="12"/>
  <c r="AC7" i="12"/>
  <c r="X4" i="13"/>
  <c r="X8" i="13" s="1"/>
  <c r="X39" i="12"/>
  <c r="X37" i="12"/>
  <c r="X4" i="14"/>
  <c r="AB21" i="12"/>
  <c r="AB20" i="12"/>
  <c r="AB23" i="12" s="1"/>
  <c r="AC6" i="12"/>
  <c r="AB13" i="12"/>
  <c r="AB10" i="12"/>
  <c r="AB22" i="12" s="1"/>
  <c r="W40" i="12"/>
  <c r="W41" i="12" s="1"/>
  <c r="W42" i="12" s="1"/>
  <c r="W5" i="14"/>
  <c r="W10" i="14" s="1"/>
  <c r="AA26" i="12" l="1"/>
  <c r="AA36" i="12"/>
  <c r="AC20" i="12"/>
  <c r="AC13" i="12"/>
  <c r="AC10" i="12"/>
  <c r="AC22" i="12" s="1"/>
  <c r="AC21" i="12"/>
  <c r="AD6" i="12"/>
  <c r="Y4" i="13"/>
  <c r="Y8" i="13" s="1"/>
  <c r="Y39" i="12"/>
  <c r="Y4" i="14"/>
  <c r="Y37" i="12"/>
  <c r="X40" i="12"/>
  <c r="X41" i="12" s="1"/>
  <c r="X42" i="12" s="1"/>
  <c r="X5" i="14"/>
  <c r="AC15" i="12"/>
  <c r="AC14" i="12"/>
  <c r="AD7" i="12"/>
  <c r="X10" i="14"/>
  <c r="AB17" i="12"/>
  <c r="AG16" i="12"/>
  <c r="AH8" i="12"/>
  <c r="Z26" i="12"/>
  <c r="Z36" i="12"/>
  <c r="B11" i="1"/>
  <c r="Y41" i="12" l="1"/>
  <c r="Y42" i="12" s="1"/>
  <c r="Y40" i="12"/>
  <c r="Y5" i="14"/>
  <c r="Y10" i="14" s="1"/>
  <c r="Z39" i="12"/>
  <c r="Z4" i="14"/>
  <c r="Z37" i="12"/>
  <c r="Z4" i="13"/>
  <c r="Z8" i="13" s="1"/>
  <c r="C6" i="16"/>
  <c r="B14" i="1"/>
  <c r="AB25" i="12"/>
  <c r="AB7" i="14"/>
  <c r="AB6" i="13"/>
  <c r="AD21" i="12"/>
  <c r="AD13" i="12"/>
  <c r="AD10" i="12"/>
  <c r="AD22" i="12" s="1"/>
  <c r="AD20" i="12"/>
  <c r="AE6" i="12"/>
  <c r="AD15" i="12"/>
  <c r="AD14" i="12"/>
  <c r="AE7" i="12"/>
  <c r="AC17" i="12"/>
  <c r="AC23" i="12"/>
  <c r="AA39" i="12"/>
  <c r="AA4" i="14"/>
  <c r="AA37" i="12"/>
  <c r="AA4" i="13"/>
  <c r="AA8" i="13" s="1"/>
  <c r="AH16" i="12"/>
  <c r="AI8" i="12"/>
  <c r="AE15" i="12" l="1"/>
  <c r="AE14" i="12"/>
  <c r="AF7" i="12"/>
  <c r="AC7" i="14"/>
  <c r="AC6" i="13"/>
  <c r="AC25" i="12"/>
  <c r="AB36" i="12"/>
  <c r="AB26" i="12"/>
  <c r="Z40" i="12"/>
  <c r="Z41" i="12" s="1"/>
  <c r="Z5" i="14"/>
  <c r="Z10" i="14" s="1"/>
  <c r="AE21" i="12"/>
  <c r="AE20" i="12"/>
  <c r="AE13" i="12"/>
  <c r="AE17" i="12" s="1"/>
  <c r="AE10" i="12"/>
  <c r="AE22" i="12" s="1"/>
  <c r="AF6" i="12"/>
  <c r="AD23" i="12"/>
  <c r="AD17" i="12"/>
  <c r="AA10" i="14"/>
  <c r="AI16" i="12"/>
  <c r="AJ8" i="12"/>
  <c r="AA41" i="12"/>
  <c r="AA40" i="12"/>
  <c r="AA5" i="14"/>
  <c r="Z42" i="12" l="1"/>
  <c r="B17" i="1"/>
  <c r="D6" i="16"/>
  <c r="AA42" i="12"/>
  <c r="AF15" i="12"/>
  <c r="AF14" i="12"/>
  <c r="AG7" i="12"/>
  <c r="AB39" i="12"/>
  <c r="AB4" i="14"/>
  <c r="AB37" i="12"/>
  <c r="AB4" i="13"/>
  <c r="AB8" i="13" s="1"/>
  <c r="AC36" i="12"/>
  <c r="AC26" i="12"/>
  <c r="AJ16" i="12"/>
  <c r="AK8" i="12"/>
  <c r="AD7" i="14"/>
  <c r="AD25" i="12"/>
  <c r="AD6" i="13"/>
  <c r="AF20" i="12"/>
  <c r="AF23" i="12" s="1"/>
  <c r="AF21" i="12"/>
  <c r="AF13" i="12"/>
  <c r="AF10" i="12"/>
  <c r="AF22" i="12" s="1"/>
  <c r="AG6" i="12"/>
  <c r="AE7" i="14"/>
  <c r="AE6" i="13"/>
  <c r="AE23" i="12"/>
  <c r="AE25" i="12" s="1"/>
  <c r="AE36" i="12" l="1"/>
  <c r="AE26" i="12"/>
  <c r="AB40" i="12"/>
  <c r="AB5" i="14"/>
  <c r="AB10" i="14" s="1"/>
  <c r="AB41" i="12"/>
  <c r="AD36" i="12"/>
  <c r="AD26" i="12"/>
  <c r="AK16" i="12"/>
  <c r="AL16" i="12" s="1"/>
  <c r="AL8" i="12"/>
  <c r="AG21" i="12"/>
  <c r="AG20" i="12"/>
  <c r="AG13" i="12"/>
  <c r="AG10" i="12"/>
  <c r="AG22" i="12" s="1"/>
  <c r="AH6" i="12"/>
  <c r="AG14" i="12"/>
  <c r="AG15" i="12"/>
  <c r="AH7" i="12"/>
  <c r="AC39" i="12"/>
  <c r="AC4" i="14"/>
  <c r="AC37" i="12"/>
  <c r="AC4" i="13"/>
  <c r="AC8" i="13" s="1"/>
  <c r="F6" i="16"/>
  <c r="E6" i="16"/>
  <c r="AF17" i="12"/>
  <c r="AH20" i="12" l="1"/>
  <c r="AH13" i="12"/>
  <c r="AH10" i="12"/>
  <c r="AH22" i="12" s="1"/>
  <c r="AI6" i="12"/>
  <c r="AH21" i="12"/>
  <c r="AG17" i="12"/>
  <c r="AC5" i="14"/>
  <c r="AC10" i="14" s="1"/>
  <c r="AC40" i="12"/>
  <c r="AC41" i="12" s="1"/>
  <c r="AD4" i="14"/>
  <c r="AD37" i="12"/>
  <c r="AD39" i="12"/>
  <c r="AD4" i="13"/>
  <c r="AD8" i="13" s="1"/>
  <c r="AF6" i="13"/>
  <c r="AF25" i="12"/>
  <c r="AF7" i="14"/>
  <c r="AG23" i="12"/>
  <c r="AE4" i="14"/>
  <c r="AE37" i="12"/>
  <c r="AE4" i="13"/>
  <c r="AE8" i="13" s="1"/>
  <c r="AE39" i="12"/>
  <c r="AH15" i="12"/>
  <c r="AI7" i="12"/>
  <c r="AH14" i="12"/>
  <c r="AB42" i="12"/>
  <c r="AC42" i="12" l="1"/>
  <c r="AE5" i="14"/>
  <c r="AE40" i="12"/>
  <c r="AE41" i="12" s="1"/>
  <c r="AE42" i="12" s="1"/>
  <c r="AG6" i="13"/>
  <c r="AG7" i="14"/>
  <c r="AG25" i="12"/>
  <c r="AE10" i="14"/>
  <c r="AF36" i="12"/>
  <c r="AF26" i="12"/>
  <c r="AH17" i="12"/>
  <c r="AD10" i="14"/>
  <c r="AI21" i="12"/>
  <c r="AI13" i="12"/>
  <c r="AI10" i="12"/>
  <c r="AI22" i="12" s="1"/>
  <c r="AJ6" i="12"/>
  <c r="AI20" i="12"/>
  <c r="AI23" i="12" s="1"/>
  <c r="AH23" i="12"/>
  <c r="AI15" i="12"/>
  <c r="AI14" i="12"/>
  <c r="AJ7" i="12"/>
  <c r="AD5" i="14"/>
  <c r="AD40" i="12"/>
  <c r="AD41" i="12"/>
  <c r="AD42" i="12" s="1"/>
  <c r="AJ14" i="12" l="1"/>
  <c r="AJ15" i="12"/>
  <c r="AK7" i="12"/>
  <c r="AG26" i="12"/>
  <c r="AG36" i="12"/>
  <c r="AF4" i="13"/>
  <c r="AF8" i="13" s="1"/>
  <c r="AF4" i="14"/>
  <c r="AF37" i="12"/>
  <c r="AF39" i="12"/>
  <c r="AJ20" i="12"/>
  <c r="AJ23" i="12" s="1"/>
  <c r="AJ13" i="12"/>
  <c r="AJ10" i="12"/>
  <c r="AJ22" i="12" s="1"/>
  <c r="AK6" i="12"/>
  <c r="AJ21" i="12"/>
  <c r="AI17" i="12"/>
  <c r="AH6" i="13"/>
  <c r="AH25" i="12"/>
  <c r="AH7" i="14"/>
  <c r="AF40" i="12" l="1"/>
  <c r="AF41" i="12" s="1"/>
  <c r="AF5" i="14"/>
  <c r="AF10" i="14"/>
  <c r="AH26" i="12"/>
  <c r="AH36" i="12"/>
  <c r="AK21" i="12"/>
  <c r="AL21" i="12" s="1"/>
  <c r="AK10" i="12"/>
  <c r="AK20" i="12"/>
  <c r="AK13" i="12"/>
  <c r="AL6" i="12"/>
  <c r="AI6" i="13"/>
  <c r="AI25" i="12"/>
  <c r="AI7" i="14"/>
  <c r="AG4" i="13"/>
  <c r="AG8" i="13" s="1"/>
  <c r="AG39" i="12"/>
  <c r="AG4" i="14"/>
  <c r="AG37" i="12"/>
  <c r="AK15" i="12"/>
  <c r="AL15" i="12" s="1"/>
  <c r="AK14" i="12"/>
  <c r="AL14" i="12" s="1"/>
  <c r="AL7" i="12"/>
  <c r="AJ17" i="12"/>
  <c r="AF42" i="12" l="1"/>
  <c r="AK22" i="12"/>
  <c r="AL22" i="12" s="1"/>
  <c r="AL10" i="12"/>
  <c r="AH4" i="13"/>
  <c r="AH8" i="13" s="1"/>
  <c r="AH39" i="12"/>
  <c r="AH37" i="12"/>
  <c r="AH4" i="14"/>
  <c r="AJ6" i="13"/>
  <c r="AJ25" i="12"/>
  <c r="AJ7" i="14"/>
  <c r="AG5" i="14"/>
  <c r="AG10" i="14" s="1"/>
  <c r="AG40" i="12"/>
  <c r="AG41" i="12" s="1"/>
  <c r="AG42" i="12" s="1"/>
  <c r="AK17" i="12"/>
  <c r="AL13" i="12"/>
  <c r="AK23" i="12"/>
  <c r="AL23" i="12" s="1"/>
  <c r="AL20" i="12"/>
  <c r="AI26" i="12"/>
  <c r="AI36" i="12"/>
  <c r="AJ26" i="12" l="1"/>
  <c r="AJ36" i="12"/>
  <c r="AH40" i="12"/>
  <c r="AH41" i="12" s="1"/>
  <c r="AH42" i="12" s="1"/>
  <c r="AH5" i="14"/>
  <c r="AH10" i="14" s="1"/>
  <c r="AI4" i="13"/>
  <c r="AI8" i="13" s="1"/>
  <c r="AI39" i="12"/>
  <c r="AI4" i="14"/>
  <c r="AI37" i="12"/>
  <c r="AK6" i="13"/>
  <c r="AK25" i="12"/>
  <c r="AK7" i="14"/>
  <c r="AL17" i="12"/>
  <c r="B7" i="16"/>
  <c r="B8" i="16" s="1"/>
  <c r="B9" i="16" s="1"/>
  <c r="B10" i="16" s="1"/>
  <c r="B11" i="16" s="1"/>
  <c r="B12" i="16" s="1"/>
  <c r="B13" i="16" s="1"/>
  <c r="B14" i="16" s="1"/>
  <c r="AI40" i="12" l="1"/>
  <c r="AI41" i="12" s="1"/>
  <c r="AI42" i="12" s="1"/>
  <c r="AI5" i="14"/>
  <c r="AK26" i="12"/>
  <c r="AK36" i="12"/>
  <c r="AL25" i="12"/>
  <c r="AL26" i="12" s="1"/>
  <c r="B4" i="1" s="1"/>
  <c r="B12" i="1"/>
  <c r="AJ4" i="13"/>
  <c r="AJ8" i="13" s="1"/>
  <c r="AJ39" i="12"/>
  <c r="AJ37" i="12"/>
  <c r="AJ4" i="14"/>
  <c r="AI10" i="14"/>
  <c r="AJ40" i="12" l="1"/>
  <c r="AJ41" i="12" s="1"/>
  <c r="AJ42" i="12" s="1"/>
  <c r="AJ5" i="14"/>
  <c r="AJ10" i="14" s="1"/>
  <c r="AK4" i="13"/>
  <c r="AK8" i="13" s="1"/>
  <c r="AK39" i="12"/>
  <c r="AK4" i="14"/>
  <c r="AK37" i="12"/>
  <c r="AL36" i="12"/>
  <c r="C7" i="16"/>
  <c r="B15" i="1"/>
  <c r="E18" i="16" l="1"/>
  <c r="C8" i="16" s="1"/>
  <c r="AL37" i="12"/>
  <c r="B7" i="1" s="1"/>
  <c r="B6" i="1"/>
  <c r="AK40" i="12"/>
  <c r="AL40" i="12" s="1"/>
  <c r="AK5" i="14"/>
  <c r="AL39" i="12"/>
  <c r="AK10" i="14"/>
  <c r="B11" i="13"/>
  <c r="B12" i="13"/>
  <c r="B13" i="13" s="1"/>
  <c r="B9" i="1" s="1"/>
  <c r="B21" i="16" s="1"/>
  <c r="C9" i="16" l="1"/>
  <c r="B14" i="14"/>
  <c r="B13" i="14"/>
  <c r="AK41" i="12"/>
  <c r="B8" i="1"/>
  <c r="B17" i="13"/>
  <c r="AK42" i="12" l="1"/>
  <c r="AL41" i="12"/>
  <c r="AL42" i="12" s="1"/>
  <c r="B5" i="1" s="1"/>
  <c r="D7" i="16"/>
  <c r="B18" i="1"/>
  <c r="C10" i="16"/>
  <c r="E19" i="16" l="1"/>
  <c r="F7" i="16"/>
  <c r="E7" i="16"/>
  <c r="B16" i="16" a="1"/>
  <c r="B16" i="16" s="1"/>
  <c r="C11" i="16"/>
  <c r="D10" i="16"/>
  <c r="F10" i="16" l="1"/>
  <c r="E10" i="16"/>
  <c r="D11" i="16"/>
  <c r="C12" i="16"/>
  <c r="B18" i="16"/>
  <c r="B17" i="16"/>
  <c r="D8" i="16"/>
  <c r="D9" i="16"/>
  <c r="F8" i="16" l="1"/>
  <c r="E8" i="16"/>
  <c r="E9" i="16"/>
  <c r="F9" i="16"/>
  <c r="C13" i="16"/>
  <c r="D12" i="16"/>
  <c r="E11" i="16"/>
  <c r="F11" i="16"/>
  <c r="E12" i="16" l="1"/>
  <c r="F12" i="16"/>
  <c r="D13" i="16"/>
  <c r="C14" i="16"/>
  <c r="D14" i="16" s="1"/>
  <c r="E14" i="16" l="1"/>
  <c r="F14" i="16"/>
  <c r="F13" i="16"/>
  <c r="E13" i="16"/>
</calcChain>
</file>

<file path=xl/sharedStrings.xml><?xml version="1.0" encoding="utf-8"?>
<sst xmlns="http://schemas.openxmlformats.org/spreadsheetml/2006/main" count="786" uniqueCount="598">
  <si>
    <t>Ruta de rentabilidad anual (proyeccion por años)</t>
  </si>
  <si>
    <t>Todas las celdas referencian otras hojas; no hay valores manuales en resultados.</t>
  </si>
  <si>
    <t>Año</t>
  </si>
  <si>
    <t>Ingresos (COP)</t>
  </si>
  <si>
    <t>EBITDA (COP)</t>
  </si>
  <si>
    <t>Utilidad Neta (COP)</t>
  </si>
  <si>
    <t>Margen Neto %</t>
  </si>
  <si>
    <t>Estado</t>
  </si>
  <si>
    <t>Primer año rentable (utilidad neta &gt; 0)</t>
  </si>
  <si>
    <t>Supuestos de proyeccion (referenciados)</t>
  </si>
  <si>
    <t>Ingresos en primer ano rentable</t>
  </si>
  <si>
    <t>Crecimiento anual usado</t>
  </si>
  <si>
    <t>Margen neto en primer ano rentable</t>
  </si>
  <si>
    <t>Mejora anual EBITDA (delta Y3-Y2)</t>
  </si>
  <si>
    <t>Relacion neto/EBITDA base (Y3)</t>
  </si>
  <si>
    <t>TIR anual (referencia indicadores)</t>
  </si>
  <si>
    <t>VPN proyecto (referencia indicadores)</t>
  </si>
  <si>
    <t>Indicadores (lectura desde PyG 36m y FC)</t>
  </si>
  <si>
    <t>Métrica</t>
  </si>
  <si>
    <t>Valor</t>
  </si>
  <si>
    <t>Margen bruto % (ponderado 36m)</t>
  </si>
  <si>
    <t>Margen neto % (ponderado 36m)</t>
  </si>
  <si>
    <t>EBITDA total 36m</t>
  </si>
  <si>
    <t>EBITDA Margin 36m</t>
  </si>
  <si>
    <t>VPN proyecto</t>
  </si>
  <si>
    <t>TIR anual equiv. proyecto</t>
  </si>
  <si>
    <t>Margen bruto % Año 1</t>
  </si>
  <si>
    <t>Margen bruto % Año 2</t>
  </si>
  <si>
    <t>Margen bruto % Año 3</t>
  </si>
  <si>
    <t>EBITDA Margin % Año 1</t>
  </si>
  <si>
    <t>EBITDA Margin % Año 2</t>
  </si>
  <si>
    <t>EBITDA Margin % Año 3</t>
  </si>
  <si>
    <t>Margen neto % Año 1</t>
  </si>
  <si>
    <t>Margen neto % Año 2</t>
  </si>
  <si>
    <t>Margen neto % Año 3</t>
  </si>
  <si>
    <t>Categoría</t>
  </si>
  <si>
    <t>Supuesto</t>
  </si>
  <si>
    <t>Descripción</t>
  </si>
  <si>
    <t>Fuente</t>
  </si>
  <si>
    <t>Técnico</t>
  </si>
  <si>
    <t>Disponibilidad (SLA)</t>
  </si>
  <si>
    <t>99.99% Multi-AZ</t>
  </si>
  <si>
    <t>AWS Well-Architected</t>
  </si>
  <si>
    <t>Latencia Máxima</t>
  </si>
  <si>
    <t>2 segundos</t>
  </si>
  <si>
    <t>Estándar industria travel</t>
  </si>
  <si>
    <t>Cumplimiento Legal</t>
  </si>
  <si>
    <t>Ley 1581 (Protección datos)</t>
  </si>
  <si>
    <t>Normativa Colombia</t>
  </si>
  <si>
    <t>Escalabilidad</t>
  </si>
  <si>
    <t>Miles de usuarios simultáneos</t>
  </si>
  <si>
    <t>Diseño ASG + Load Balancers</t>
  </si>
  <si>
    <t>Mercado</t>
  </si>
  <si>
    <t>TRM</t>
  </si>
  <si>
    <t>1 USD = 4.200 COP</t>
  </si>
  <si>
    <t>Proyección 2025-2026</t>
  </si>
  <si>
    <t>Adopción Pagos Digitales</t>
  </si>
  <si>
    <t>Alta en Colombia</t>
  </si>
  <si>
    <t>Tendencia e-commerce</t>
  </si>
  <si>
    <t>Crecimiento E-commerce</t>
  </si>
  <si>
    <t>15-20% anual</t>
  </si>
  <si>
    <t>Benchmarks sectoriales</t>
  </si>
  <si>
    <t>Operacional</t>
  </si>
  <si>
    <t>Modelo de Trabajo</t>
  </si>
  <si>
    <t>100% Remoto (Home Office)</t>
  </si>
  <si>
    <t>Ahorro 30% vs oficina</t>
  </si>
  <si>
    <t>Infraestructura IA</t>
  </si>
  <si>
    <t>vLLM para servir modelos</t>
  </si>
  <si>
    <t>Optimización de latencia</t>
  </si>
  <si>
    <t>Arquitectura</t>
  </si>
  <si>
    <t>Multi-AZ para redundancia</t>
  </si>
  <si>
    <t>Garantía transacciones críticas</t>
  </si>
  <si>
    <t>Desarrollo</t>
  </si>
  <si>
    <t>6 meses con 3 personas</t>
  </si>
  <si>
    <t>Estimación Payscale</t>
  </si>
  <si>
    <t>Periodo Capitalización</t>
  </si>
  <si>
    <t>Análisis 12 meses</t>
  </si>
  <si>
    <t>Horizonte inicial</t>
  </si>
  <si>
    <t>USD</t>
  </si>
  <si>
    <t>COP</t>
  </si>
  <si>
    <t>Promedio Transacción</t>
  </si>
  <si>
    <t>Componente</t>
  </si>
  <si>
    <t>Costo (COP)</t>
  </si>
  <si>
    <t>Desarrollo MVP</t>
  </si>
  <si>
    <t>Full-stack (React + Android + Spring Boot)</t>
  </si>
  <si>
    <t>Payscale Colombia</t>
  </si>
  <si>
    <t>6 meses de desarrollo con un equipo de 3 personas, incluyendo mantenimiento hasta completar el costo anual.</t>
  </si>
  <si>
    <t>Legal y Constitución</t>
  </si>
  <si>
    <t>Registro mercantil</t>
  </si>
  <si>
    <t>Cámara de Comercio Bogotá</t>
  </si>
  <si>
    <t>Derechos de matrícula de establecimientos, sucursales o agencias según normativa vigente.</t>
  </si>
  <si>
    <t>RNT</t>
  </si>
  <si>
    <t>Ministerio de Comercio, Industria y Turismo</t>
  </si>
  <si>
    <t>El RNT es completamente gratuito.</t>
  </si>
  <si>
    <t>Marcas</t>
  </si>
  <si>
    <t>Superintendencia de Industria y Comercio</t>
  </si>
  <si>
    <t>Solicitud de registro de marca o lema comercial por una clase, incluyendo modificaciones no sustanciales.</t>
  </si>
  <si>
    <t>Diseño UI/UX</t>
  </si>
  <si>
    <t>Identidad visual y prototipado</t>
  </si>
  <si>
    <t>6 meses de trabajo en diseño.</t>
  </si>
  <si>
    <t>Marketing Lanzamiento</t>
  </si>
  <si>
    <t>Estrategia de adquisición inicial</t>
  </si>
  <si>
    <t>Marketing CPE</t>
  </si>
  <si>
    <t>Inversión en pauta durante los primeros 6 meses posteriores al lanzamiento.</t>
  </si>
  <si>
    <t>TOTAL CAPEX</t>
  </si>
  <si>
    <t>Servicio AWS</t>
  </si>
  <si>
    <t>Costo Mensual (COP)</t>
  </si>
  <si>
    <t>Costo Anual (COP)</t>
  </si>
  <si>
    <t>API Gateway</t>
  </si>
  <si>
    <t>Gestión REST API</t>
  </si>
  <si>
    <t>AWS Pricing Calculator</t>
  </si>
  <si>
    <t>1 millón de peticiones mensuales</t>
  </si>
  <si>
    <t>Application Load Balancer</t>
  </si>
  <si>
    <t>Balanceo de carga en múltiples zonas (Multi-AZ)</t>
  </si>
  <si>
    <t>Instancia base + 0.8 LCU bajo modelo de pago por uso</t>
  </si>
  <si>
    <t>EC2</t>
  </si>
  <si>
    <t>Auto Scaling Group para servicios Spring Boot, gestión de reservas, APIs, FastAPI, procesamiento con GPU NVIDIA T4 y predicción de CO2e (RAG)</t>
  </si>
  <si>
    <t>Reserva a 1 año con mínimo 4 instancias</t>
  </si>
  <si>
    <t>RDS</t>
  </si>
  <si>
    <t>Base de datos primaria en configuración Multi-AZ. Instancias adicionales PostgreSQL Multi-AZ. Base de datos para machine learning y vectores (embeddings)</t>
  </si>
  <si>
    <t>Alta disponibilidad para cargas críticas y almacenamiento de embeddings y metadatos</t>
  </si>
  <si>
    <t>S3 Buckets</t>
  </si>
  <si>
    <t>Almacenamiento de media, logs, pesos de modelos y contenido estático de la aplicación</t>
  </si>
  <si>
    <t>200 GB de almacenamiento total + transferencia de datos</t>
  </si>
  <si>
    <t>CloudFront</t>
  </si>
  <si>
    <t>Red de distribución de contenido (CDN)</t>
  </si>
  <si>
    <t>Aproximadamente 500 GB de salida de datos mensual</t>
  </si>
  <si>
    <t>SNS/SQS</t>
  </si>
  <si>
    <t>Capa asincrónica para eventos y colas de mensajes</t>
  </si>
  <si>
    <t>Hasta 1 millón de mensajes mensuales</t>
  </si>
  <si>
    <t>CloudWatch</t>
  </si>
  <si>
    <t>Monitoreo, logs, métricas y alertas</t>
  </si>
  <si>
    <t>Incluye retención de logs y dashboards</t>
  </si>
  <si>
    <t>Lambda</t>
  </si>
  <si>
    <t>Procesamiento de tickets y archivos PDF</t>
  </si>
  <si>
    <t>2 millones de ejecuciones mensuales</t>
  </si>
  <si>
    <t>TOTAL CLOUD</t>
  </si>
  <si>
    <t>Modelo / Servicio</t>
  </si>
  <si>
    <t>Tipo de Cobro</t>
  </si>
  <si>
    <t>Escenario de Uso</t>
  </si>
  <si>
    <t>vLLM</t>
  </si>
  <si>
    <t>Inferencia Local</t>
  </si>
  <si>
    <t>24/7 Disponible</t>
  </si>
  <si>
    <t>Licencia abierta; costo absorbido en EC2 AI</t>
  </si>
  <si>
    <t>Optimización de Modelos</t>
  </si>
  <si>
    <t>Fine-tuning Interno</t>
  </si>
  <si>
    <t>Equipo MLOps</t>
  </si>
  <si>
    <t>Ejecutado por personal interno</t>
  </si>
  <si>
    <t>TOTAL IA</t>
  </si>
  <si>
    <t>Concepto</t>
  </si>
  <si>
    <t>Volumen Mensual Estimado</t>
  </si>
  <si>
    <t>Pasarela Wompi</t>
  </si>
  <si>
    <t>Comisión + Tarifa</t>
  </si>
  <si>
    <t>500 transacciones</t>
  </si>
  <si>
    <t>Wompi</t>
  </si>
  <si>
    <t>Por cada transacción procesada</t>
  </si>
  <si>
    <t>Google Maps API</t>
  </si>
  <si>
    <t>Por Request</t>
  </si>
  <si>
    <t>1,000,000 queries</t>
  </si>
  <si>
    <t>Maps Platform</t>
  </si>
  <si>
    <t>Autocompletado y rutas</t>
  </si>
  <si>
    <t>Amadeus API</t>
  </si>
  <si>
    <t>100,000 búsquedas</t>
  </si>
  <si>
    <t>Amadeus for Developers</t>
  </si>
  <si>
    <t>Consultas de vuelos y hoteles</t>
  </si>
  <si>
    <t>Twilio SMS/WhatsApp</t>
  </si>
  <si>
    <t>Por Mensaje</t>
  </si>
  <si>
    <t>100,000 mensajes</t>
  </si>
  <si>
    <t>Twilio</t>
  </si>
  <si>
    <t>Notificaciones de confirmación</t>
  </si>
  <si>
    <t>TOTAL TRANSACCIONAL</t>
  </si>
  <si>
    <t>Subcomponente</t>
  </si>
  <si>
    <t>Talento</t>
  </si>
  <si>
    <t>CTO / Líder Técnico</t>
  </si>
  <si>
    <t>Arquitecto AWS + DevOps Senior</t>
  </si>
  <si>
    <t>MLOps / DevOps</t>
  </si>
  <si>
    <t>Mantenimiento ASG y GPUs</t>
  </si>
  <si>
    <t>Fullstack Senior (Backend)</t>
  </si>
  <si>
    <t>Spring Boot + Integraciones</t>
  </si>
  <si>
    <t>Fullstack + IA (Python)</t>
  </si>
  <si>
    <t>ML + Backend</t>
  </si>
  <si>
    <t>Especialista de Viajes</t>
  </si>
  <si>
    <t>Alianzas GDS y soporte operacional</t>
  </si>
  <si>
    <t>Home Office (Auxilios)</t>
  </si>
  <si>
    <t>Movistar</t>
  </si>
  <si>
    <t>Internet</t>
  </si>
  <si>
    <t>Enel</t>
  </si>
  <si>
    <t>Luz</t>
  </si>
  <si>
    <t>Operación</t>
  </si>
  <si>
    <t>Infraestructura Cloud AWS</t>
  </si>
  <si>
    <t>Detalle en hoja Cloud</t>
  </si>
  <si>
    <t>Marketing Digital</t>
  </si>
  <si>
    <t>Campañas de adquisición y retención</t>
  </si>
  <si>
    <t>APIs Externas</t>
  </si>
  <si>
    <t>Transaccional</t>
  </si>
  <si>
    <t>Amadeus + Google Maps + Twilio</t>
  </si>
  <si>
    <t>TOTAL OPEX</t>
  </si>
  <si>
    <t>Inputs - Variables Editables del Modelo Financiero</t>
  </si>
  <si>
    <t xml:space="preserve">Variable </t>
  </si>
  <si>
    <t>Unidad</t>
  </si>
  <si>
    <t>Supuesto / Fuente</t>
  </si>
  <si>
    <t>Parámetros de Usuarios</t>
  </si>
  <si>
    <t>Base usuarios free mes 1</t>
  </si>
  <si>
    <t>usuarios</t>
  </si>
  <si>
    <t>Usuarios free en lanzamiento (beta cerrada)</t>
  </si>
  <si>
    <t>Nuevos usuarios adquiridos mes 1</t>
  </si>
  <si>
    <t>Meta acquisición mes 1 (SEO + pauta inicial)</t>
  </si>
  <si>
    <t>Crecimiento nuevos usuarios (/mes)</t>
  </si>
  <si>
    <t>%/mes</t>
  </si>
  <si>
    <t>Benchmark SaaS early-stage: 10-25%/mes</t>
  </si>
  <si>
    <t>Conversión inicial free a premium</t>
  </si>
  <si>
    <t>%</t>
  </si>
  <si>
    <t>De nuevos usuarios: % inician como premium directamente</t>
  </si>
  <si>
    <t>Conversión ongoing (free a prem/mes)</t>
  </si>
  <si>
    <t>Usuarios free existentes que convierten cada mes</t>
  </si>
  <si>
    <t>Churn free (%/mes)</t>
  </si>
  <si>
    <t>Alto: usuarios sin compromiso; referencia apps similares</t>
  </si>
  <si>
    <t>Churn premium (%/mes)</t>
  </si>
  <si>
    <t>Aproximadamente 12.5 meses promedio suscripción (benchmark SaaS B2C)</t>
  </si>
  <si>
    <t>Churn B2B (%/mes)</t>
  </si>
  <si>
    <t>Aproximadamente 33 meses LTV; contratos anuales reducen churn real</t>
  </si>
  <si>
    <t>Reservas/usuario free/mes</t>
  </si>
  <si>
    <t>reservas</t>
  </si>
  <si>
    <t>Estimado: 1 reserva cada 2 meses por usuario free</t>
  </si>
  <si>
    <t>Reservas/usuario premium/mes</t>
  </si>
  <si>
    <t>Premium: mayor uso e intención de compra</t>
  </si>
  <si>
    <t>Parámetros de Inteligencia Artificial</t>
  </si>
  <si>
    <t>Requests IA / user free / mes</t>
  </si>
  <si>
    <t>req/user</t>
  </si>
  <si>
    <t>Búsquedas IA, sugerencias destino, chatbot básico</t>
  </si>
  <si>
    <t>Requests IA / user premium / mes</t>
  </si>
  <si>
    <t>Planificación avanzada, RAG, itinerarios, CO2 predicción</t>
  </si>
  <si>
    <t>Costo marginal por request (COP)</t>
  </si>
  <si>
    <t>COP/req</t>
  </si>
  <si>
    <t>vLLM self-hosted en EC2; estimado vs throughput GPU T4</t>
  </si>
  <si>
    <t>Capacidad GPU 1 bloque (req/mes)</t>
  </si>
  <si>
    <t>requests</t>
  </si>
  <si>
    <t>1× g4dn.xlarge T4 a promedio 50K req/día</t>
  </si>
  <si>
    <t>Costo GPU adicional (COP/bloque)</t>
  </si>
  <si>
    <t>COP/mes</t>
  </si>
  <si>
    <t>1× g4dn.xlarge 1-yr reserved aproximadamente $300/mes = COP 1.26M</t>
  </si>
  <si>
    <t>Pricing y Monetización</t>
  </si>
  <si>
    <t>Precio suscripción premium</t>
  </si>
  <si>
    <t>Aproximadamente $7.1 USD/mes; comparable con Duolingo Plus / Spotify Colombia</t>
  </si>
  <si>
    <t>Ticket promedio por transacción</t>
  </si>
  <si>
    <t>Viaje nacional promedio (aéreo + hotel 2 noches)</t>
  </si>
  <si>
    <t>Tasa de comisión</t>
  </si>
  <si>
    <t>10% sobre valor de reserva; estándar OTA mercado Colombia</t>
  </si>
  <si>
    <t>Costo Wompi / transacción (COP)</t>
  </si>
  <si>
    <t>COP/trans</t>
  </si>
  <si>
    <t>2.65% * $500K + $700; neto costo procesamiento</t>
  </si>
  <si>
    <t>Revenue B2B / cliente / mes</t>
  </si>
  <si>
    <t>Publicidad posicionada + herramientas analítica para operadores</t>
  </si>
  <si>
    <t>Mes inicio clientes B2B</t>
  </si>
  <si>
    <t>mes</t>
  </si>
  <si>
    <t>Primeros clientes B2B desde mes 3 (post-tracción inicial)</t>
  </si>
  <si>
    <t>Clientes B2B al inicio</t>
  </si>
  <si>
    <t>clientes</t>
  </si>
  <si>
    <t>2 clientes piloto en mes de lanzamiento B2B</t>
  </si>
  <si>
    <t>Nuevos clientes B2B / mes</t>
  </si>
  <si>
    <t>Crecimiento conservador: 1 cliente nuevo/mes (ventas outbound)</t>
  </si>
  <si>
    <t>Costos de Adquisición (CAC)</t>
  </si>
  <si>
    <t>CAC usuario free (COP)</t>
  </si>
  <si>
    <t>Aproximadamente $3.6 USD; pauta digital (Meta/Google) Colombia 2025</t>
  </si>
  <si>
    <t>CAC usuario premium (COP)</t>
  </si>
  <si>
    <t>CAC total (free + conversión); incluye incentivo upgrade</t>
  </si>
  <si>
    <t>CAC cliente B2B (COP)</t>
  </si>
  <si>
    <t>Costo ventas outbound + demos + onboarding B2B</t>
  </si>
  <si>
    <t>OPEX Mensual (Estructura de Costos)</t>
  </si>
  <si>
    <t>OPEX Talento / mes</t>
  </si>
  <si>
    <t>5 profesionales; fuente: Payscale Colombia 2025</t>
  </si>
  <si>
    <t>OPEX Cloud AWS / mes</t>
  </si>
  <si>
    <t>RDS corregido a $500 USD/mes; EC2 GPU a $300 USD/mes</t>
  </si>
  <si>
    <t>OPEX Marketing base / mes</t>
  </si>
  <si>
    <t>Campañas retención; excluye CAC (se calcula aparte)</t>
  </si>
  <si>
    <t>OPEX APIs fijas base / mes</t>
  </si>
  <si>
    <t>Mínimo consumo: Google Maps + Amadeus + Twilio fijo</t>
  </si>
  <si>
    <t>OPEX APIs variable / usuario</t>
  </si>
  <si>
    <t>COP/user</t>
  </si>
  <si>
    <t>Amadeus+Maps incremental por usuario activo</t>
  </si>
  <si>
    <t>CAPEX y Amortización</t>
  </si>
  <si>
    <t>CAPEX total</t>
  </si>
  <si>
    <t>MVP + Legal + UX/UI + Marketing lanzamiento</t>
  </si>
  <si>
    <t>Período amortización</t>
  </si>
  <si>
    <t>meses</t>
  </si>
  <si>
    <t>3 años; estándar intangibles tecnológicos Colombia</t>
  </si>
  <si>
    <t>Parámetros Generales</t>
  </si>
  <si>
    <t>TRM (COP / USD)</t>
  </si>
  <si>
    <t>COP/USD</t>
  </si>
  <si>
    <t>Proyección 2025-2026; fuente: Banco de la República</t>
  </si>
  <si>
    <t>Tasa de impuesto de renta</t>
  </si>
  <si>
    <t>Colombia: tarifa general 33% (Art. 240 E.T.)</t>
  </si>
  <si>
    <t>CAC cliente B2B (COP, explícito)</t>
  </si>
  <si>
    <t>Ventas B2B con demos y onboarding; no usar ticket como proxy de CAC.</t>
  </si>
  <si>
    <t>TIO / Tasa descuento proyecto (anual, TEA)</t>
  </si>
  <si>
    <t>% anual</t>
  </si>
  <si>
    <t>Taller Parte 1: descuento del proyecto sin inflación/impuesto/financiación.</t>
  </si>
  <si>
    <t>TIO empresa / costo oportunidad (anual, TEA)</t>
  </si>
  <si>
    <t>Más alto por riesgo residual del accionista / gobierno corporativo.</t>
  </si>
  <si>
    <t>Inflación anual esperada (FC empresa)</t>
  </si>
  <si>
    <t>Macro conservadora 2026-2029.</t>
  </si>
  <si>
    <t>Préstamo - principal (COP)</t>
  </si>
  <si>
    <t>Línea de capital de trabajo documentada en memo.</t>
  </si>
  <si>
    <t>Préstamo - tasa nominal anual (TEA)</t>
  </si>
  <si>
    <t>Préstamo - plazo (meses)</t>
  </si>
  <si>
    <t>Préstamo - mes desembolso</t>
  </si>
  <si>
    <t>Unit Economics - Por Segmento de Usuario</t>
  </si>
  <si>
    <t>Free (B2C)</t>
  </si>
  <si>
    <t>Premium (B2C)</t>
  </si>
  <si>
    <t>B2B Operador</t>
  </si>
  <si>
    <t>Notas</t>
  </si>
  <si>
    <t>Ingresos por Unidad (Mensual / Usuario)</t>
  </si>
  <si>
    <t>Comisiones por reservas (COP/mes)</t>
  </si>
  <si>
    <t>Free: 0.5 res * $500K * 10%  |  Premium: 2 res * $500K * 10%  |  B2B: n/a</t>
  </si>
  <si>
    <t>Suscripción premium (COP/mes)</t>
  </si>
  <si>
    <t>Solo aplica para segmento premium</t>
  </si>
  <si>
    <t>Publicidad / SaaS B2B (COP/mes)</t>
  </si>
  <si>
    <t>Posicionamiento + herramientas analítica por operador</t>
  </si>
  <si>
    <t>INGRESO TOTAL / UNIDAD</t>
  </si>
  <si>
    <t>Ingreso bruto mensual por usuario / cliente</t>
  </si>
  <si>
    <t>Costos Variables Por Unidad (Mensual)</t>
  </si>
  <si>
    <t>Costo Wompi / trans. (COP/mes)</t>
  </si>
  <si>
    <t>Wompi: COP 13,950 por transacción; B2B: pago directo entre partes</t>
  </si>
  <si>
    <t>Costo IA marginal (COP/mes)</t>
  </si>
  <si>
    <t>vLLM on EC2; costo marginal por request en GPU T4</t>
  </si>
  <si>
    <t>APIs variable (COP/mes)</t>
  </si>
  <si>
    <t>Google Maps + Amadeus incremental por usuario activo</t>
  </si>
  <si>
    <t>COGS TOTAL / UNIDAD</t>
  </si>
  <si>
    <t>Suma de costos variables directos por unidad</t>
  </si>
  <si>
    <t>Rentabilidad por Unidad</t>
  </si>
  <si>
    <t>Contribución marginal bruta</t>
  </si>
  <si>
    <t>Ingreso - COGS variable; positivo = cada unidad genera caja</t>
  </si>
  <si>
    <t>Margen de contribución (%)</t>
  </si>
  <si>
    <t>Objetivo mínimo: 60% para cubrir costos fijos</t>
  </si>
  <si>
    <t>Métricas de Adquisición y Retención</t>
  </si>
  <si>
    <t>CAC (COP)</t>
  </si>
  <si>
    <t>Costo de adquisición del cliente; Free: orgánico+digital, Prem: upgrade, B2B: ventas</t>
  </si>
  <si>
    <t>Churn mensual (%)</t>
  </si>
  <si>
    <t>Tasa de cancelación mensual por segmento</t>
  </si>
  <si>
    <t>Vida promedio (meses)</t>
  </si>
  <si>
    <t>LTV (COP)</t>
  </si>
  <si>
    <t>Lifetime Value = Contribución * Vida promedio (meses)</t>
  </si>
  <si>
    <t>LTV / CAC</t>
  </si>
  <si>
    <t>Ratio mínimo saludable: 3x. &gt;10x = excelente eficiencia de capital</t>
  </si>
  <si>
    <t>Payback CAC (meses)</t>
  </si>
  <si>
    <t>Meses para recuperar CAC con contribución mensual; objetivo &lt;12 meses</t>
  </si>
  <si>
    <t>Análisis de Viabilidad</t>
  </si>
  <si>
    <t>¿Margen positivo por unidad?</t>
  </si>
  <si>
    <t>¿LTV/CAC ≥ 3x?</t>
  </si>
  <si>
    <t>¿Payback &lt; 12 meses?</t>
  </si>
  <si>
    <t>Estado de Resultados (P&amp;G) Proyectado - 12 Meses</t>
  </si>
  <si>
    <t>Concepto (COP)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</si>
  <si>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</si>
  <si>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</si>
  <si>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</si>
  <si>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</si>
  <si>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</si>
  <si>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</si>
  <si>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</si>
  <si>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</si>
  <si>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</si>
  <si>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</si>
  <si>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</si>
  <si>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</si>
  <si>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Año 1 Total</t>
  </si>
  <si>
    <t>Usuarios</t>
  </si>
  <si>
    <t>Nuevos usuarios adquiridos</t>
  </si>
  <si>
    <t>Usuarios Free (neto fin de mes)</t>
  </si>
  <si>
    <t>Usuarios Premium (neto fin de mes)</t>
  </si>
  <si>
    <t>Clientes B2B (neto)</t>
  </si>
  <si>
    <t>Nuevos clientes B2B</t>
  </si>
  <si>
    <t>Total usuarios activos (Free+Premium)</t>
  </si>
  <si>
    <t>Ingresos</t>
  </si>
  <si>
    <t>Comisiones reservas (Free)</t>
  </si>
  <si>
    <t>Comisiones reservas (Premium)</t>
  </si>
  <si>
    <t>Suscripciones Premium</t>
  </si>
  <si>
    <t>Revenue B2B (publicidad + SaaS)</t>
  </si>
  <si>
    <t>TOTAL INGRESOS</t>
  </si>
  <si>
    <t>Costo de Ventas (COGS - Variables)</t>
  </si>
  <si>
    <t>Costo pasarela Wompi</t>
  </si>
  <si>
    <t>Costo IA marginal (vLLM GPU)</t>
  </si>
  <si>
    <t>APIs externas (variable por usuario)</t>
  </si>
  <si>
    <t>TOTAL COGS</t>
  </si>
  <si>
    <t>MARGEN BRUTO</t>
  </si>
  <si>
    <t xml:space="preserve">  % Margen Bruto</t>
  </si>
  <si>
    <t>Gastos Operativos (OPEX Fijo)</t>
  </si>
  <si>
    <t>Talento humano</t>
  </si>
  <si>
    <t>Infraestructura Cloud AWS (corregida)</t>
  </si>
  <si>
    <t>Marketing digital (base)</t>
  </si>
  <si>
    <t>APIs externas (costo mínimo fijo)</t>
  </si>
  <si>
    <t>CAC spend (adquisición)</t>
  </si>
  <si>
    <t>Rentabilidad</t>
  </si>
  <si>
    <t>EBITDA (Utilidad Operativa Bruta)</t>
  </si>
  <si>
    <t xml:space="preserve">  % EBITDA sobre ingresos</t>
  </si>
  <si>
    <t>Amortización CAPEX</t>
  </si>
  <si>
    <t>EBIT (Utilidad Operativa Neta)</t>
  </si>
  <si>
    <t>Impuesto de renta (33%)</t>
  </si>
  <si>
    <t>UTILIDAD NETA</t>
  </si>
  <si>
    <t xml:space="preserve">  % Margen Neto</t>
  </si>
  <si>
    <t>Flujo de Caja - 12 Meses</t>
  </si>
  <si>
    <t>Actividades Operativas</t>
  </si>
  <si>
    <t>EBITDA (de PyG)</t>
  </si>
  <si>
    <t>Cambio capital de trabajo (AR lag 5%)</t>
  </si>
  <si>
    <t>Impuestos pagados</t>
  </si>
  <si>
    <t>FLUJO CAJA OPERATIVO</t>
  </si>
  <si>
    <t>Actividades de Inversión (CAPEX)</t>
  </si>
  <si>
    <t>CAPEX inicial (desembolso mes 0/1)</t>
  </si>
  <si>
    <t>FLUJO CAJA INVERSIÓN</t>
  </si>
  <si>
    <t>Actividades de Financiamiento</t>
  </si>
  <si>
    <t>Aporte de capital / financiamiento</t>
  </si>
  <si>
    <t>FLUJO CAJA FINANCIERO</t>
  </si>
  <si>
    <t>Resumen de Caja</t>
  </si>
  <si>
    <t>FLUJO NETO DEL PERÍODO</t>
  </si>
  <si>
    <t>SALDO CAJA ACUMULADO</t>
  </si>
  <si>
    <t>Saldo mínimo requerido (buffer operativo)</t>
  </si>
  <si>
    <t>Estado de Resultados (P&amp;G) Proyectado - 36 Meses</t>
  </si>
  <si>
    <t>Mes 13</t>
  </si>
  <si>
    <t>Mes 14</t>
  </si>
  <si>
    <t>Mes 15</t>
  </si>
  <si>
    <t>Mes 16</t>
  </si>
  <si>
    <t>Mes 17</t>
  </si>
  <si>
    <t>Mes 18</t>
  </si>
  <si>
    <t>Mes 19</t>
  </si>
  <si>
    <t>Mes 20</t>
  </si>
  <si>
    <t>Mes 21</t>
  </si>
  <si>
    <t>Mes 22</t>
  </si>
  <si>
    <t>Mes 23</t>
  </si>
  <si>
    <t>Mes 24</t>
  </si>
  <si>
    <t>Mes 25</t>
  </si>
  <si>
    <t>Mes 26</t>
  </si>
  <si>
    <t>Mes 27</t>
  </si>
  <si>
    <t>Mes 28</t>
  </si>
  <si>
    <t>Mes 29</t>
  </si>
  <si>
    <t>Mes 30</t>
  </si>
  <si>
    <t>Mes 31</t>
  </si>
  <si>
    <t>Mes 32</t>
  </si>
  <si>
    <t>Mes 33</t>
  </si>
  <si>
    <t>Mes 34</t>
  </si>
  <si>
    <t>Mes 35</t>
  </si>
  <si>
    <t>Mes 36</t>
  </si>
  <si>
    <t>Total 36m</t>
  </si>
  <si>
    <t>Infraestructura Cloud + GPU (Inputs)</t>
  </si>
  <si>
    <t>APIs integradas (mínimo fijo mensual)</t>
  </si>
  <si>
    <t>EBITDA</t>
  </si>
  <si>
    <t xml:space="preserve">  % EBITDA sobre ingresos (EBITDA Margin)</t>
  </si>
  <si>
    <t>EBIT</t>
  </si>
  <si>
    <t>Impuesto de renta</t>
  </si>
  <si>
    <t>Flujo de Caja del PROYECTO - sin inflación, sin financiación, sin impuestos</t>
  </si>
  <si>
    <t>EBITDA (PyG)</t>
  </si>
  <si>
    <t>(-) Impuestos (excluidos)</t>
  </si>
  <si>
    <t>(-) Cambio capital de trabajo (5% * variación ingresos)</t>
  </si>
  <si>
    <t>(-) CAPEX (Inputs)</t>
  </si>
  <si>
    <t>FLUJO CAJA PROYECTO</t>
  </si>
  <si>
    <t>TIO mensual (proyecto)</t>
  </si>
  <si>
    <t>VPN proyecto (VNA)</t>
  </si>
  <si>
    <t>TIR mensual (TIR)</t>
  </si>
  <si>
    <t>TIR anual equivalente (aprox.)</t>
  </si>
  <si>
    <t>Relación Beneficio / Costo (proxy)</t>
  </si>
  <si>
    <t>Inversión inicial (CAPEX, COP)</t>
  </si>
  <si>
    <t>B/C = 1 + VPN / Inversión</t>
  </si>
  <si>
    <t>Flujo de Caja de la EMPRESA - inflación, financiación, impuestos</t>
  </si>
  <si>
    <t>EBITDA ajustado (inflación desde mes 13, proxy)</t>
  </si>
  <si>
    <t>(-) Impuesto renta (sobre EBIT PyG)</t>
  </si>
  <si>
    <t>(-) Servicio deuda (cuota PMT principal + interés)</t>
  </si>
  <si>
    <t>(-) Cambio capital de trabajo</t>
  </si>
  <si>
    <t>(-) CAPEX / desembolsos</t>
  </si>
  <si>
    <t>(+) Desembolso préstamo</t>
  </si>
  <si>
    <t>FLUJO CAJA EMPRESA</t>
  </si>
  <si>
    <t>TIO mensual (empresa)</t>
  </si>
  <si>
    <t>VPN empresa</t>
  </si>
  <si>
    <t>TIR empresa</t>
  </si>
  <si>
    <t>Análisis de Sensibilidad - Variables Críticas</t>
  </si>
  <si>
    <t>Ingresos Año 1 (COP M) - Precio Premium * Tasa de Conversión</t>
  </si>
  <si>
    <t>Los valores se calculan como: Usuarios Premium Promedio * 12 meses * Precio + Comisiones estimadas</t>
  </si>
  <si>
    <t>Precio Prem \ Conv Rate</t>
  </si>
  <si>
    <t>Conv 5.0%</t>
  </si>
  <si>
    <t>Conv 7.5%</t>
  </si>
  <si>
    <t>Conv 10.0%</t>
  </si>
  <si>
    <t>Conv 15.0%</t>
  </si>
  <si>
    <t>Conv 20.0%</t>
  </si>
  <si>
    <t>Impacto en margen</t>
  </si>
  <si>
    <t>COP 15,000</t>
  </si>
  <si>
    <t>Precio insostenible; no cubre COGS premium</t>
  </si>
  <si>
    <t>COP 22,000</t>
  </si>
  <si>
    <t>Margen ajustado; viable solo con churn &lt;6%</t>
  </si>
  <si>
    <t>COP 29,900</t>
  </si>
  <si>
    <t>Precio base recomendado; margen aproximadamente 71%</t>
  </si>
  <si>
    <t>COP 39,000</t>
  </si>
  <si>
    <t>Alta rentabilidad; riesgo de menor conversión</t>
  </si>
  <si>
    <t>COP 49,000</t>
  </si>
  <si>
    <t>Precio premium; requiere validación WTP Colombia</t>
  </si>
  <si>
    <t>EBITDA Año 1 (COP M) - Churn Premium * Tasa Crecimiento Usuarios</t>
  </si>
  <si>
    <t>Crec. \ Churn Prem</t>
  </si>
  <si>
    <t>Churn 4%</t>
  </si>
  <si>
    <t>Churn 6%</t>
  </si>
  <si>
    <t>Churn 8%</t>
  </si>
  <si>
    <t>Churn 12%</t>
  </si>
  <si>
    <t>Churn 16%</t>
  </si>
  <si>
    <t>Nota</t>
  </si>
  <si>
    <t>Crecimiento 5%/mes</t>
  </si>
  <si>
    <t>Crecimiento lento; déficit alto año 1</t>
  </si>
  <si>
    <t>Crecimiento 10%/mes</t>
  </si>
  <si>
    <t>Posible; requiere eficiencia OPEX</t>
  </si>
  <si>
    <t>Crecimiento 15%/mes</t>
  </si>
  <si>
    <t>Escenario base; viable con OPEX corregido</t>
  </si>
  <si>
    <t>Crecimiento 20%/mes</t>
  </si>
  <si>
    <t>Escenario optimista; break-even mes 9-10</t>
  </si>
  <si>
    <t>Crecimiento 30%/mes</t>
  </si>
  <si>
    <t>Agresivo; requiere mayor inversión en CAC</t>
  </si>
  <si>
    <t>Sensibilidad al Costo de IA (Impacto en EBITDA Anual)</t>
  </si>
  <si>
    <t>Costo/req (COP)</t>
  </si>
  <si>
    <t>Costo IA mensual (500 prem)</t>
  </si>
  <si>
    <t>% del Revenue</t>
  </si>
  <si>
    <t>Impacto EBITDA anual</t>
  </si>
  <si>
    <t>$0.5 (muy bajo)</t>
  </si>
  <si>
    <t>COP 50,000</t>
  </si>
  <si>
    <t>COP -0.6M</t>
  </si>
  <si>
    <t>Óptimo; requiere model distillation</t>
  </si>
  <si>
    <t>$1 (~Mistral small)</t>
  </si>
  <si>
    <t>COP 100,000</t>
  </si>
  <si>
    <t>COP -1.2M</t>
  </si>
  <si>
    <t>Excelente; Mistral 7B cuantizado viable</t>
  </si>
  <si>
    <t>$2 (base, vLLM T4)</t>
  </si>
  <si>
    <t>COP 200,000</t>
  </si>
  <si>
    <t>COP -2.4M</t>
  </si>
  <si>
    <t>BASE RECOMENDADO - vLLM en T4</t>
  </si>
  <si>
    <t>$5 (API externa económica)</t>
  </si>
  <si>
    <t>COP 500,000</t>
  </si>
  <si>
    <t>COP -6.0M</t>
  </si>
  <si>
    <t>Límites por request; usage-based necesario</t>
  </si>
  <si>
    <t>$10 (GPT-3.5)</t>
  </si>
  <si>
    <t>COP 1,000,000</t>
  </si>
  <si>
    <t>COP -12.0M</t>
  </si>
  <si>
    <t>Marginal negativo; migrar modelo</t>
  </si>
  <si>
    <t>$20 (GPT-4o mini)</t>
  </si>
  <si>
    <t>COP 2,000,000</t>
  </si>
  <si>
    <t>COP -24.0M</t>
  </si>
  <si>
    <t>Insostenible; rate limiting obligatorio</t>
  </si>
  <si>
    <t>Comparativo: Modelos de Monetización de IA</t>
  </si>
  <si>
    <t>Modelo</t>
  </si>
  <si>
    <t>Margen por usuario</t>
  </si>
  <si>
    <t>Impacto caja</t>
  </si>
  <si>
    <t>Riesgo técnico</t>
  </si>
  <si>
    <t>Decisión producto</t>
  </si>
  <si>
    <t>Rate Limits (solo)</t>
  </si>
  <si>
    <t>Alto (costos controlados)</t>
  </si>
  <si>
    <t>Positivo corto plazo</t>
  </si>
  <si>
    <t>Bajo</t>
  </si>
  <si>
    <t>Peor UX; abandono premium</t>
  </si>
  <si>
    <t>Parcial: solo en free tier</t>
  </si>
  <si>
    <t>Usage-Based (puro)</t>
  </si>
  <si>
    <t>Variable; protege margen</t>
  </si>
  <si>
    <t>Impredecible para usuario</t>
  </si>
  <si>
    <t>Medio (billing infra)</t>
  </si>
  <si>
    <t>Fricción en conversión</t>
  </si>
  <si>
    <t>Solo para B2B heavy-use</t>
  </si>
  <si>
    <t>Suscripción fija</t>
  </si>
  <si>
    <t>Predecible; riesgo heavy-users</t>
  </si>
  <si>
    <t>Estable y planificable</t>
  </si>
  <si>
    <t>Mejor UX; stickiness alta</t>
  </si>
  <si>
    <t>Mantener para B2C</t>
  </si>
  <si>
    <t>Híbrido</t>
  </si>
  <si>
    <t>Alto + protección vs abuso</t>
  </si>
  <si>
    <t>Estable con techo</t>
  </si>
  <si>
    <t>Medio</t>
  </si>
  <si>
    <t>Fair use policy clara</t>
  </si>
  <si>
    <t>ÓPTIMO: Suscripción + límite soft</t>
  </si>
  <si>
    <t>Escenarios cualitativos</t>
  </si>
  <si>
    <t>Variable</t>
  </si>
  <si>
    <t>Pesimista</t>
  </si>
  <si>
    <t>Base</t>
  </si>
  <si>
    <t>Optimista</t>
  </si>
  <si>
    <t>Crecimiento nuevos usuarios (Inputs B8)</t>
  </si>
  <si>
    <t>APIs fijas mensuales (Inputs B43)</t>
  </si>
  <si>
    <t>Take rate comisión neta (Inputs B27)</t>
  </si>
  <si>
    <t>Tesis de inversión</t>
  </si>
  <si>
    <t>Riesgos críticos y mitigación</t>
  </si>
  <si>
    <t>El proyecto tiene potencial de creación de valor si ejecuta disciplina comercial y de costos en los primeros 24 meses. La propuesta combina monetización B2C (suscripción + comisiones) con ancla B2B para estabilizar ingresos.</t>
  </si>
  <si>
    <t>Riesgo: monetización B2B por debajo de lo esperado.</t>
  </si>
  <si>
    <t>Impacto: retrasa rentabilidad anual y reduce caja operativa.</t>
  </si>
  <si>
    <t>Mitigación: pipeline comercial trimestral, pricing por paquetes, metas de upsell.</t>
  </si>
  <si>
    <t>Lectura financiera (con base en indicadores y ruta anual)</t>
  </si>
  <si>
    <t>Riesgo: churn premium superior al previsto.</t>
  </si>
  <si>
    <t>Impacto: erosiona LTV/CAC y presiona marketing.</t>
  </si>
  <si>
    <t>Mitigación: onboarding guiado, plan anual, programa de retención con activación temprana.</t>
  </si>
  <si>
    <t>1) El modelo mejora respecto al escenario inicial: la rentabilidad deja de depender de crecimiento extremo y se apoya en eficiencia operativa.</t>
  </si>
  <si>
    <t>2) La señal relevante para inversionistas es la trayectoria: EBITDA y margen neto convergen a positivo en la etapa de escalamiento.</t>
  </si>
  <si>
    <t>Riesgo: escalamiento de costos transaccionales/API.</t>
  </si>
  <si>
    <t>Impacto: comprime margen bruto y EBITDA.</t>
  </si>
  <si>
    <t>Mitigación: optimización de consumo, negociación de tarifas, controles de uso y alertas de sobreconsumo.</t>
  </si>
  <si>
    <t>3) La TIR y el VPN deben interpretarse junto con sensibilidad; el caso base es defendible, pero sensible a churn premium, CAC B2B y take rate.</t>
  </si>
  <si>
    <t>Condiciones para sostener el GO</t>
  </si>
  <si>
    <t>1) Cumplir hitos de tracción comercial por trimestre (adquisición, conversión y retención).</t>
  </si>
  <si>
    <t>2) Mantener disciplina de gasto: crecimiento de OPEX menor al crecimiento de ingresos.</t>
  </si>
  <si>
    <t>3) Ejecutar revisiones mensuales de unit economics (LTV/CAC, payback, margen por segmento).</t>
  </si>
  <si>
    <t>Conclusión final</t>
  </si>
  <si>
    <t>Recomendación: GO CONDICIONAL. El proyecto es invertible bajo una estrategia de ejecución por etapas, con control estricto de costos y evidencia de PMF antes de acelerar escala. El valor para inversionistas proviene de la combinación de crecimiento moderado, mejora de márgenes y ruta de rentabilidad anual trazable.</t>
  </si>
  <si>
    <t>Conclusión Ejecutiva - GO Condicional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</si>
</sst>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164" formatCode="0.0%;\(0.0%\);&quot;-&quot;"/>
    <numFmt numFmtId="165" formatCode="_(&quot;$&quot;* #,##0_);_(&quot;$&quot;* \(#,##0\);_(&quot;$&quot;* &quot;-&quot;??_);_(@_)"/>
    <numFmt numFmtId="166" formatCode="0.0"/>
    <numFmt numFmtId="167" formatCode="0.0\x"/>
    <numFmt numFmtId="168" formatCode="#,##0.0"/>
    <numFmt numFmtId="169" formatCode="#,##0;\(#,##0\);&quot;-&quot;"/>
    <numFmt numFmtId="170" formatCode="&quot;$&quot;#,##0.00"/>
    <numFmt numFmtId="171" formatCode="&quot;$&quot;#,##0"/>
    <numFmt numFmtId="172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/>
    <xf numFmtId="0" fontId="2" fillId="0" borderId="0"/>
    <xf numFmtId="9" fontId="1" fillId="0" borderId="0"/>
  </cellStyleXfs>
  <cellXfs count="9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44" fontId="0" fillId="0" borderId="1" xfId="1" applyFont="1" applyBorder="1"/>
    <xf numFmtId="0" fontId="2" fillId="0" borderId="1" xfId="2" applyBorder="1"/>
    <xf numFmtId="44" fontId="0" fillId="0" borderId="1" xfId="0" applyNumberFormat="1" applyBorder="1"/>
    <xf numFmtId="0" fontId="0" fillId="0" borderId="1" xfId="0" applyBorder="1" applyAlignment="1">
      <alignment wrapText="1"/>
    </xf>
    <xf numFmtId="0" fontId="2" fillId="0" borderId="1" xfId="2" applyBorder="1" applyAlignment="1">
      <alignment wrapText="1"/>
    </xf>
    <xf numFmtId="0" fontId="0" fillId="2" borderId="1" xfId="0" applyFill="1" applyBorder="1" applyAlignment="1">
      <alignment horizontal="center"/>
    </xf>
    <xf numFmtId="44" fontId="2" fillId="0" borderId="1" xfId="2" applyNumberFormat="1" applyBorder="1"/>
    <xf numFmtId="44" fontId="0" fillId="0" borderId="1" xfId="0" applyNumberFormat="1" applyBorder="1" applyAlignment="1">
      <alignment vertical="center"/>
    </xf>
    <xf numFmtId="44" fontId="2" fillId="0" borderId="3" xfId="2" applyNumberFormat="1" applyBorder="1" applyAlignment="1">
      <alignment horizontal="left" vertical="center"/>
    </xf>
    <xf numFmtId="44" fontId="2" fillId="0" borderId="1" xfId="2" applyNumberFormat="1" applyBorder="1" applyAlignment="1">
      <alignment horizontal="left" vertical="center"/>
    </xf>
    <xf numFmtId="0" fontId="2" fillId="0" borderId="1" xfId="2" applyBorder="1" applyAlignment="1">
      <alignment horizontal="left"/>
    </xf>
    <xf numFmtId="0" fontId="0" fillId="2" borderId="4" xfId="0" applyFill="1" applyBorder="1"/>
    <xf numFmtId="0" fontId="0" fillId="0" borderId="5" xfId="0" applyBorder="1"/>
    <xf numFmtId="0" fontId="2" fillId="0" borderId="5" xfId="2" applyBorder="1"/>
    <xf numFmtId="9" fontId="0" fillId="0" borderId="1" xfId="3" applyFont="1" applyBorder="1"/>
    <xf numFmtId="10" fontId="0" fillId="0" borderId="1" xfId="0" applyNumberFormat="1" applyBorder="1"/>
    <xf numFmtId="9" fontId="0" fillId="0" borderId="1" xfId="0" applyNumberFormat="1" applyBorder="1"/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right" vertical="center"/>
    </xf>
    <xf numFmtId="165" fontId="3" fillId="0" borderId="1" xfId="1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right" vertical="center"/>
    </xf>
    <xf numFmtId="167" fontId="3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/>
    <xf numFmtId="0" fontId="3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/>
    </xf>
    <xf numFmtId="0" fontId="5" fillId="0" borderId="0" xfId="0" applyFont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168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wrapText="1"/>
    </xf>
    <xf numFmtId="0" fontId="4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/>
    </xf>
    <xf numFmtId="9" fontId="1" fillId="0" borderId="0" xfId="3"/>
    <xf numFmtId="9" fontId="1" fillId="0" borderId="1" xfId="3" applyBorder="1"/>
    <xf numFmtId="169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horizontal="left"/>
    </xf>
    <xf numFmtId="2" fontId="0" fillId="0" borderId="1" xfId="0" applyNumberFormat="1" applyBorder="1"/>
    <xf numFmtId="9" fontId="0" fillId="0" borderId="0" xfId="0" applyNumberFormat="1"/>
    <xf numFmtId="8" fontId="0" fillId="0" borderId="0" xfId="0" applyNumberFormat="1"/>
    <xf numFmtId="170" fontId="1" fillId="0" borderId="0" xfId="1" applyNumberFormat="1"/>
    <xf numFmtId="170" fontId="0" fillId="0" borderId="1" xfId="1" applyNumberFormat="1" applyFont="1" applyBorder="1"/>
    <xf numFmtId="171" fontId="0" fillId="0" borderId="1" xfId="1" applyNumberFormat="1" applyFont="1" applyBorder="1"/>
    <xf numFmtId="171" fontId="1" fillId="0" borderId="1" xfId="1" applyNumberFormat="1" applyBorder="1"/>
    <xf numFmtId="171" fontId="0" fillId="0" borderId="1" xfId="0" applyNumberFormat="1" applyBorder="1"/>
    <xf numFmtId="171" fontId="0" fillId="0" borderId="1" xfId="1" applyNumberFormat="1" applyFont="1" applyBorder="1" applyAlignment="1">
      <alignment wrapText="1"/>
    </xf>
    <xf numFmtId="171" fontId="0" fillId="0" borderId="4" xfId="1" applyNumberFormat="1" applyFont="1" applyBorder="1"/>
    <xf numFmtId="170" fontId="3" fillId="0" borderId="1" xfId="1" applyNumberFormat="1" applyFont="1" applyBorder="1" applyAlignment="1">
      <alignment horizontal="right" vertical="center"/>
    </xf>
    <xf numFmtId="170" fontId="3" fillId="0" borderId="1" xfId="0" applyNumberFormat="1" applyFont="1" applyBorder="1" applyAlignment="1">
      <alignment horizontal="right" vertical="center"/>
    </xf>
    <xf numFmtId="171" fontId="4" fillId="0" borderId="1" xfId="1" applyNumberFormat="1" applyFont="1" applyBorder="1" applyAlignment="1">
      <alignment horizontal="right" vertical="center"/>
    </xf>
    <xf numFmtId="171" fontId="4" fillId="0" borderId="3" xfId="1" applyNumberFormat="1" applyFont="1" applyBorder="1" applyAlignment="1">
      <alignment horizontal="right" vertical="center"/>
    </xf>
    <xf numFmtId="171" fontId="4" fillId="0" borderId="1" xfId="0" applyNumberFormat="1" applyFont="1" applyBorder="1"/>
    <xf numFmtId="172" fontId="1" fillId="0" borderId="1" xfId="3" applyNumberFormat="1" applyBorder="1"/>
    <xf numFmtId="171" fontId="0" fillId="0" borderId="0" xfId="0" applyNumberFormat="1"/>
    <xf numFmtId="165" fontId="1" fillId="0" borderId="1" xfId="1" applyNumberFormat="1" applyBorder="1"/>
    <xf numFmtId="0" fontId="0" fillId="2" borderId="1" xfId="0" applyFill="1" applyBorder="1" applyAlignment="1">
      <alignment horizontal="left"/>
    </xf>
    <xf numFmtId="0" fontId="0" fillId="0" borderId="8" xfId="0" applyBorder="1"/>
    <xf numFmtId="0" fontId="0" fillId="0" borderId="9" xfId="0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3" borderId="1" xfId="0" applyFill="1" applyBorder="1" applyAlignment="1">
      <alignment horizontal="left" vertical="center"/>
    </xf>
    <xf numFmtId="44" fontId="2" fillId="0" borderId="1" xfId="2" applyNumberFormat="1" applyBorder="1" applyAlignment="1">
      <alignment horizontal="center" vertical="center" textRotation="90"/>
    </xf>
    <xf numFmtId="0" fontId="0" fillId="0" borderId="1" xfId="0" applyBorder="1" applyAlignment="1">
      <alignment horizontal="left" vertical="center"/>
    </xf>
    <xf numFmtId="44" fontId="2" fillId="0" borderId="1" xfId="2" applyNumberFormat="1" applyBorder="1" applyAlignment="1">
      <alignment horizontal="left" vertical="center"/>
    </xf>
    <xf numFmtId="0" fontId="0" fillId="2" borderId="8" xfId="0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3" fillId="2" borderId="1" xfId="0" applyFont="1" applyFill="1" applyBorder="1" applyAlignment="1">
      <alignment horizontal="left" vertical="center"/>
    </xf>
    <xf numFmtId="165" fontId="4" fillId="2" borderId="1" xfId="1" applyNumberFormat="1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2" borderId="1" xfId="0" applyFill="1" applyBorder="1"/>
    <xf numFmtId="0" fontId="4" fillId="0" borderId="1" xfId="0" applyFont="1" applyBorder="1" applyAlignment="1">
      <alignment horizontal="left" vertical="center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 wrapText="1"/>
    </xf>
    <xf numFmtId="0" fontId="0" fillId="0" borderId="1" xfId="0" applyBorder="1"/>
    <xf numFmtId="0" fontId="4" fillId="4" borderId="1" xfId="0" applyFont="1" applyFill="1" applyBorder="1" applyAlignment="1">
      <alignment wrapText="1"/>
    </xf>
    <xf numFmtId="0" fontId="4" fillId="0" borderId="1" xfId="0" applyFont="1" applyFill="1" applyBorder="1" applyAlignment="1">
      <alignment wrapText="1"/>
    </xf>
    <xf numFmtId="0" fontId="4" fillId="2" borderId="1" xfId="0" applyFont="1" applyFill="1" applyBorder="1" applyAlignment="1">
      <alignment vertical="center" wrapText="1"/>
    </xf>
  </cellXfs>
  <cellStyles count="4">
    <cellStyle name="Currency" xfId="1" builtinId="4"/>
    <cellStyle name="Hyperlink" xfId="2" builtinId="8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incit.gov.co/minturismo/analisis-sectorial-y-promocion/preguntas-frecuentes-relacionadas-con-formalizacio/2-cuales-son-los-costos-del-registro-nacional-de-t" TargetMode="External"/><Relationship Id="rId2" Type="http://schemas.openxmlformats.org/officeDocument/2006/relationships/hyperlink" Target="https://www.ccb.org.co/tramites-y-consultas/sobre-registros/tarifas" TargetMode="External"/><Relationship Id="rId1" Type="http://schemas.openxmlformats.org/officeDocument/2006/relationships/hyperlink" Target="https://www.payscale.com/research/CO/Job=Full_Stack_Software_Developer/Salary" TargetMode="External"/><Relationship Id="rId6" Type="http://schemas.openxmlformats.org/officeDocument/2006/relationships/hyperlink" Target="https://marketingcpe.com.co/blog/cuanto-cobra-una-agencia-de-marketing-digital-en-colombia/" TargetMode="External"/><Relationship Id="rId5" Type="http://schemas.openxmlformats.org/officeDocument/2006/relationships/hyperlink" Target="https://www.payscale.com/research/CO/Job=Graphic_Designer/Salary" TargetMode="External"/><Relationship Id="rId4" Type="http://schemas.openxmlformats.org/officeDocument/2006/relationships/hyperlink" Target="https://www.sic.gov.co/tasas-signos-distintivo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calculator.aws/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developers.amadeus.com/pricing" TargetMode="External"/><Relationship Id="rId2" Type="http://schemas.openxmlformats.org/officeDocument/2006/relationships/hyperlink" Target="https://mapsplatform.google.com/pricing/" TargetMode="External"/><Relationship Id="rId1" Type="http://schemas.openxmlformats.org/officeDocument/2006/relationships/hyperlink" Target="https://wompi.com/es/co/planes-tarifas/" TargetMode="External"/><Relationship Id="rId4" Type="http://schemas.openxmlformats.org/officeDocument/2006/relationships/hyperlink" Target="https://www.twilio.com/en-us/pricing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nel.com.co/es/personas/tarifas-energia-enel-distribucion.html" TargetMode="External"/><Relationship Id="rId2" Type="http://schemas.openxmlformats.org/officeDocument/2006/relationships/hyperlink" Target="https://www.movistar.com.co/hogar/planes-internet-hogar" TargetMode="External"/><Relationship Id="rId1" Type="http://schemas.openxmlformats.org/officeDocument/2006/relationships/hyperlink" Target="https://www.payscale.com/research/CO/Job" TargetMode="External"/><Relationship Id="rId5" Type="http://schemas.openxmlformats.org/officeDocument/2006/relationships/hyperlink" Target="https://marketingcpe.com.co/blog/cuanto-cobra-una-agencia-de-marketing-digital-en-colombia/" TargetMode="External"/><Relationship Id="rId4" Type="http://schemas.openxmlformats.org/officeDocument/2006/relationships/hyperlink" Target="https://calculator.aw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workbookViewId="0">
      <selection activeCell="B8" sqref="B8"/>
    </sheetView>
  </sheetViews>
  <sheetFormatPr defaultRowHeight="15" x14ac:dyDescent="0.25"/>
  <cols>
    <col min="1" max="1" width="38" bestFit="1" customWidth="1"/>
    <col min="2" max="2" width="18" bestFit="1" customWidth="1"/>
    <col min="3" max="3" width="9.140625" customWidth="1"/>
  </cols>
  <sheetData>
    <row r="1" spans="1:2" x14ac:dyDescent="0.25">
      <c r="A1" s="69" t="s">
        <v>17</v>
      </c>
      <c r="B1" s="68"/>
    </row>
    <row r="3" spans="1:2" x14ac:dyDescent="0.25">
      <c r="A3" s="2" t="s">
        <v>18</v>
      </c>
      <c r="B3" s="2" t="s">
        <v>19</v>
      </c>
    </row>
    <row r="4" spans="1:2" x14ac:dyDescent="0.25">
      <c r="A4" s="1" t="s">
        <v>20</v>
      </c>
      <c r="B4" s="44">
        <f>'P&amp;G 36 Meses'!AL26</f>
        <v>0.67536369191798507</v>
      </c>
    </row>
    <row r="5" spans="1:2" x14ac:dyDescent="0.25">
      <c r="A5" s="1" t="s">
        <v>21</v>
      </c>
      <c r="B5" s="44">
        <f>'P&amp;G 36 Meses'!AL42</f>
        <v>-0.17303940456887137</v>
      </c>
    </row>
    <row r="6" spans="1:2" x14ac:dyDescent="0.25">
      <c r="A6" s="1" t="s">
        <v>22</v>
      </c>
      <c r="B6" s="55">
        <f>'P&amp;G 36 Meses'!AL36</f>
        <v>-51742552</v>
      </c>
    </row>
    <row r="7" spans="1:2" x14ac:dyDescent="0.25">
      <c r="A7" s="1" t="s">
        <v>23</v>
      </c>
      <c r="B7" s="44">
        <f>'P&amp;G 36 Meses'!AL37</f>
        <v>-2.798704329794216E-2</v>
      </c>
    </row>
    <row r="8" spans="1:2" x14ac:dyDescent="0.25">
      <c r="A8" s="1" t="s">
        <v>24</v>
      </c>
      <c r="B8" s="55">
        <f>'FC Proyecto'!B11</f>
        <v>-329897837.04289162</v>
      </c>
    </row>
    <row r="9" spans="1:2" x14ac:dyDescent="0.25">
      <c r="A9" s="1" t="s">
        <v>25</v>
      </c>
      <c r="B9" s="44">
        <f>'FC Proyecto'!B13</f>
        <v>-0.29047501897959804</v>
      </c>
    </row>
    <row r="10" spans="1:2" x14ac:dyDescent="0.25">
      <c r="A10" s="1" t="s">
        <v>26</v>
      </c>
      <c r="B10" s="18">
        <f>SUM('P&amp;G 36 Meses'!B25:M25)/SUM('P&amp;G 36 Meses'!B17:M17)</f>
        <v>0.67165324766459245</v>
      </c>
    </row>
    <row r="11" spans="1:2" x14ac:dyDescent="0.25">
      <c r="A11" s="1" t="s">
        <v>27</v>
      </c>
      <c r="B11" s="18">
        <f>SUM('P&amp;G 36 Meses'!N25:Z25)/SUM('P&amp;G 36 Meses'!N17:Z17)</f>
        <v>0.69271175051530431</v>
      </c>
    </row>
    <row r="12" spans="1:2" x14ac:dyDescent="0.25">
      <c r="A12" s="1" t="s">
        <v>28</v>
      </c>
      <c r="B12" s="18">
        <f>SUM('P&amp;G 36 Meses'!AA25:AK25)/SUM('P&amp;G 36 Meses'!AA17:AK17)</f>
        <v>0.66443655935454071</v>
      </c>
    </row>
    <row r="13" spans="1:2" x14ac:dyDescent="0.25">
      <c r="A13" s="1" t="s">
        <v>29</v>
      </c>
      <c r="B13" s="18">
        <f>SUM('P&amp;G 36 Meses'!B36:M36)/SUM('P&amp;G 36 Meses'!B17:M17)</f>
        <v>-1.2005922708775787</v>
      </c>
    </row>
    <row r="14" spans="1:2" x14ac:dyDescent="0.25">
      <c r="A14" s="1" t="s">
        <v>30</v>
      </c>
      <c r="B14" s="18">
        <f>SUM('P&amp;G 36 Meses'!N36:Z36)/SUM('P&amp;G 36 Meses'!N17:Z17)</f>
        <v>-1.2686036665208719E-2</v>
      </c>
    </row>
    <row r="15" spans="1:2" x14ac:dyDescent="0.25">
      <c r="A15" s="1" t="s">
        <v>31</v>
      </c>
      <c r="B15" s="18">
        <f>SUM('P&amp;G 36 Meses'!AA36:AK36)/SUM('P&amp;G 36 Meses'!AA17:AK17)</f>
        <v>0.22109179937243881</v>
      </c>
    </row>
    <row r="16" spans="1:2" x14ac:dyDescent="0.25">
      <c r="A16" s="1" t="s">
        <v>32</v>
      </c>
      <c r="B16" s="18">
        <f>SUM('P&amp;G 36 Meses'!B41:M41)/SUM('P&amp;G 36 Meses'!B17:M17)</f>
        <v>-1.5379812678528113</v>
      </c>
    </row>
    <row r="17" spans="1:2" x14ac:dyDescent="0.25">
      <c r="A17" s="1" t="s">
        <v>33</v>
      </c>
      <c r="B17" s="18">
        <f>SUM('P&amp;G 36 Meses'!N41:Z41)/SUM('P&amp;G 36 Meses'!N17:Z17)</f>
        <v>-0.13365548882796127</v>
      </c>
    </row>
    <row r="18" spans="1:2" x14ac:dyDescent="0.25">
      <c r="A18" s="1" t="s">
        <v>34</v>
      </c>
      <c r="B18" s="18">
        <f>SUM('P&amp;G 36 Meses'!AA41:AK41)/SUM('P&amp;G 36 Meses'!AA17:AK17)</f>
        <v>0.10228530333507872</v>
      </c>
    </row>
    <row r="21" spans="1:2" x14ac:dyDescent="0.25">
      <c r="B21" s="51"/>
    </row>
    <row r="22" spans="1:2" x14ac:dyDescent="0.25">
      <c r="B22" s="51"/>
    </row>
    <row r="23" spans="1:2" x14ac:dyDescent="0.25">
      <c r="B23" s="49"/>
    </row>
    <row r="24" spans="1:2" x14ac:dyDescent="0.25">
      <c r="B24" s="49"/>
    </row>
    <row r="25" spans="1:2" x14ac:dyDescent="0.25">
      <c r="B25" s="50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workbookViewId="0">
      <selection activeCell="A19" sqref="A19"/>
    </sheetView>
  </sheetViews>
  <sheetFormatPr defaultRowHeight="15" x14ac:dyDescent="0.25"/>
  <cols>
    <col min="1" max="1" width="21.42578125" bestFit="1" customWidth="1"/>
    <col min="2" max="2" width="24.5703125" bestFit="1" customWidth="1"/>
    <col min="3" max="3" width="29.28515625" bestFit="1" customWidth="1"/>
    <col min="4" max="4" width="32" bestFit="1" customWidth="1"/>
  </cols>
  <sheetData>
    <row r="1" spans="1:4" x14ac:dyDescent="0.25">
      <c r="A1" s="2" t="s">
        <v>35</v>
      </c>
      <c r="B1" s="2" t="s">
        <v>36</v>
      </c>
      <c r="C1" s="2" t="s">
        <v>37</v>
      </c>
      <c r="D1" s="2" t="s">
        <v>38</v>
      </c>
    </row>
    <row r="2" spans="1:4" x14ac:dyDescent="0.25">
      <c r="A2" s="70" t="s">
        <v>39</v>
      </c>
      <c r="B2" s="1" t="s">
        <v>40</v>
      </c>
      <c r="C2" s="1" t="s">
        <v>41</v>
      </c>
      <c r="D2" s="1" t="s">
        <v>42</v>
      </c>
    </row>
    <row r="3" spans="1:4" x14ac:dyDescent="0.25">
      <c r="A3" s="71"/>
      <c r="B3" s="1" t="s">
        <v>43</v>
      </c>
      <c r="C3" s="1" t="s">
        <v>44</v>
      </c>
      <c r="D3" s="1" t="s">
        <v>45</v>
      </c>
    </row>
    <row r="4" spans="1:4" x14ac:dyDescent="0.25">
      <c r="A4" s="71"/>
      <c r="B4" s="1" t="s">
        <v>46</v>
      </c>
      <c r="C4" s="1" t="s">
        <v>47</v>
      </c>
      <c r="D4" s="1" t="s">
        <v>48</v>
      </c>
    </row>
    <row r="5" spans="1:4" x14ac:dyDescent="0.25">
      <c r="A5" s="72"/>
      <c r="B5" s="1" t="s">
        <v>49</v>
      </c>
      <c r="C5" s="1" t="s">
        <v>50</v>
      </c>
      <c r="D5" s="1" t="s">
        <v>51</v>
      </c>
    </row>
    <row r="6" spans="1:4" x14ac:dyDescent="0.25">
      <c r="A6" s="70" t="s">
        <v>52</v>
      </c>
      <c r="B6" s="1" t="s">
        <v>53</v>
      </c>
      <c r="C6" s="1" t="s">
        <v>54</v>
      </c>
      <c r="D6" s="1" t="s">
        <v>55</v>
      </c>
    </row>
    <row r="7" spans="1:4" x14ac:dyDescent="0.25">
      <c r="A7" s="71"/>
      <c r="B7" s="1" t="s">
        <v>56</v>
      </c>
      <c r="C7" s="1" t="s">
        <v>57</v>
      </c>
      <c r="D7" s="1" t="s">
        <v>58</v>
      </c>
    </row>
    <row r="8" spans="1:4" x14ac:dyDescent="0.25">
      <c r="A8" s="72"/>
      <c r="B8" s="1" t="s">
        <v>59</v>
      </c>
      <c r="C8" s="1" t="s">
        <v>60</v>
      </c>
      <c r="D8" s="1" t="s">
        <v>61</v>
      </c>
    </row>
    <row r="9" spans="1:4" x14ac:dyDescent="0.25">
      <c r="A9" s="70" t="s">
        <v>62</v>
      </c>
      <c r="B9" s="1" t="s">
        <v>63</v>
      </c>
      <c r="C9" s="1" t="s">
        <v>64</v>
      </c>
      <c r="D9" s="1" t="s">
        <v>65</v>
      </c>
    </row>
    <row r="10" spans="1:4" x14ac:dyDescent="0.25">
      <c r="A10" s="71"/>
      <c r="B10" s="1" t="s">
        <v>66</v>
      </c>
      <c r="C10" s="1" t="s">
        <v>67</v>
      </c>
      <c r="D10" s="1" t="s">
        <v>68</v>
      </c>
    </row>
    <row r="11" spans="1:4" x14ac:dyDescent="0.25">
      <c r="A11" s="71"/>
      <c r="B11" s="1" t="s">
        <v>69</v>
      </c>
      <c r="C11" s="1" t="s">
        <v>70</v>
      </c>
      <c r="D11" s="1" t="s">
        <v>71</v>
      </c>
    </row>
    <row r="12" spans="1:4" x14ac:dyDescent="0.25">
      <c r="A12" s="71"/>
      <c r="B12" s="1" t="s">
        <v>72</v>
      </c>
      <c r="C12" s="1" t="s">
        <v>73</v>
      </c>
      <c r="D12" s="1" t="s">
        <v>74</v>
      </c>
    </row>
    <row r="13" spans="1:4" x14ac:dyDescent="0.25">
      <c r="A13" s="72"/>
      <c r="B13" s="1" t="s">
        <v>75</v>
      </c>
      <c r="C13" s="1" t="s">
        <v>76</v>
      </c>
      <c r="D13" s="1" t="s">
        <v>77</v>
      </c>
    </row>
    <row r="15" spans="1:4" x14ac:dyDescent="0.25">
      <c r="A15" s="9" t="s">
        <v>78</v>
      </c>
      <c r="B15" s="9" t="s">
        <v>79</v>
      </c>
    </row>
    <row r="16" spans="1:4" x14ac:dyDescent="0.25">
      <c r="A16" s="52">
        <v>1</v>
      </c>
      <c r="B16" s="53">
        <v>4200</v>
      </c>
    </row>
    <row r="18" spans="1:2" x14ac:dyDescent="0.25">
      <c r="A18" s="15" t="s">
        <v>80</v>
      </c>
      <c r="B18" s="16"/>
    </row>
    <row r="19" spans="1:2" x14ac:dyDescent="0.25">
      <c r="A19" s="57">
        <v>380000</v>
      </c>
      <c r="B19" s="17"/>
    </row>
  </sheetData>
  <mergeCells count="3">
    <mergeCell ref="A9:A13"/>
    <mergeCell ref="A2:A5"/>
    <mergeCell ref="A6:A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zoomScaleNormal="100" workbookViewId="0">
      <selection activeCell="C8" sqref="C8"/>
    </sheetView>
  </sheetViews>
  <sheetFormatPr defaultRowHeight="15" x14ac:dyDescent="0.25"/>
  <cols>
    <col min="1" max="1" width="21.85546875" bestFit="1" customWidth="1"/>
    <col min="2" max="2" width="40" bestFit="1" customWidth="1"/>
    <col min="3" max="3" width="14.85546875" bestFit="1" customWidth="1"/>
    <col min="4" max="4" width="40.28515625" bestFit="1" customWidth="1"/>
    <col min="5" max="5" width="48.7109375" bestFit="1" customWidth="1"/>
  </cols>
  <sheetData>
    <row r="1" spans="1:5" x14ac:dyDescent="0.25">
      <c r="A1" s="2" t="s">
        <v>81</v>
      </c>
      <c r="B1" s="2" t="s">
        <v>37</v>
      </c>
      <c r="C1" s="2" t="s">
        <v>82</v>
      </c>
      <c r="D1" s="2" t="s">
        <v>38</v>
      </c>
      <c r="E1" s="2" t="s">
        <v>36</v>
      </c>
    </row>
    <row r="2" spans="1:5" ht="45" customHeight="1" x14ac:dyDescent="0.25">
      <c r="A2" s="3" t="s">
        <v>83</v>
      </c>
      <c r="B2" s="1" t="s">
        <v>84</v>
      </c>
      <c r="C2" s="53">
        <f>(61041889)*3</f>
        <v>183125667</v>
      </c>
      <c r="D2" s="5" t="s">
        <v>85</v>
      </c>
      <c r="E2" s="7" t="s">
        <v>86</v>
      </c>
    </row>
    <row r="3" spans="1:5" ht="30" customHeight="1" x14ac:dyDescent="0.25">
      <c r="A3" s="73" t="s">
        <v>87</v>
      </c>
      <c r="B3" s="1" t="s">
        <v>88</v>
      </c>
      <c r="C3" s="53">
        <v>194000</v>
      </c>
      <c r="D3" s="5" t="s">
        <v>89</v>
      </c>
      <c r="E3" s="7" t="s">
        <v>90</v>
      </c>
    </row>
    <row r="4" spans="1:5" x14ac:dyDescent="0.25">
      <c r="A4" s="71"/>
      <c r="B4" s="1" t="s">
        <v>91</v>
      </c>
      <c r="C4" s="53">
        <v>0</v>
      </c>
      <c r="D4" s="5" t="s">
        <v>92</v>
      </c>
      <c r="E4" s="7" t="s">
        <v>93</v>
      </c>
    </row>
    <row r="5" spans="1:5" ht="45" customHeight="1" x14ac:dyDescent="0.25">
      <c r="A5" s="72"/>
      <c r="B5" s="1" t="s">
        <v>94</v>
      </c>
      <c r="C5" s="53">
        <v>1347500</v>
      </c>
      <c r="D5" s="8" t="s">
        <v>95</v>
      </c>
      <c r="E5" s="7" t="s">
        <v>96</v>
      </c>
    </row>
    <row r="6" spans="1:5" x14ac:dyDescent="0.25">
      <c r="A6" s="3" t="s">
        <v>97</v>
      </c>
      <c r="B6" s="1" t="s">
        <v>98</v>
      </c>
      <c r="C6" s="53">
        <f>26400002/2</f>
        <v>13200001</v>
      </c>
      <c r="D6" s="5" t="s">
        <v>85</v>
      </c>
      <c r="E6" s="7" t="s">
        <v>99</v>
      </c>
    </row>
    <row r="7" spans="1:5" ht="30" customHeight="1" x14ac:dyDescent="0.25">
      <c r="A7" s="3" t="s">
        <v>100</v>
      </c>
      <c r="B7" s="1" t="s">
        <v>101</v>
      </c>
      <c r="C7" s="53">
        <f>3370000*6</f>
        <v>20220000</v>
      </c>
      <c r="D7" s="5" t="s">
        <v>102</v>
      </c>
      <c r="E7" s="7" t="s">
        <v>103</v>
      </c>
    </row>
    <row r="8" spans="1:5" x14ac:dyDescent="0.25">
      <c r="A8" s="2" t="s">
        <v>104</v>
      </c>
      <c r="B8" s="1"/>
      <c r="C8" s="53">
        <f>SUM(C2:C7)</f>
        <v>218087168</v>
      </c>
      <c r="D8" s="1"/>
      <c r="E8" s="1"/>
    </row>
  </sheetData>
  <mergeCells count="1">
    <mergeCell ref="A3:A5"/>
  </mergeCells>
  <hyperlinks>
    <hyperlink ref="D2" r:id="rId1" xr:uid="{00000000-0004-0000-0200-000000000000}"/>
    <hyperlink ref="D3" r:id="rId2" xr:uid="{00000000-0004-0000-0200-000001000000}"/>
    <hyperlink ref="D4" r:id="rId3" xr:uid="{00000000-0004-0000-0200-000002000000}"/>
    <hyperlink ref="D5" r:id="rId4" xr:uid="{00000000-0004-0000-0200-000003000000}"/>
    <hyperlink ref="D6" r:id="rId5" xr:uid="{00000000-0004-0000-0200-000004000000}"/>
    <hyperlink ref="D7" r:id="rId6" xr:uid="{00000000-0004-0000-0200-000005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workbookViewId="0">
      <selection activeCell="D18" sqref="D18"/>
    </sheetView>
  </sheetViews>
  <sheetFormatPr defaultRowHeight="15" x14ac:dyDescent="0.25"/>
  <cols>
    <col min="1" max="1" width="24.5703125" bestFit="1" customWidth="1"/>
    <col min="2" max="2" width="34.42578125" bestFit="1" customWidth="1"/>
    <col min="3" max="3" width="19.85546875" bestFit="1" customWidth="1"/>
    <col min="4" max="4" width="17.42578125" bestFit="1" customWidth="1"/>
    <col min="5" max="5" width="6.85546875" bestFit="1" customWidth="1"/>
    <col min="6" max="6" width="42.140625" bestFit="1" customWidth="1"/>
  </cols>
  <sheetData>
    <row r="1" spans="1:6" x14ac:dyDescent="0.25">
      <c r="A1" s="2" t="s">
        <v>105</v>
      </c>
      <c r="B1" s="2" t="s">
        <v>37</v>
      </c>
      <c r="C1" s="2" t="s">
        <v>106</v>
      </c>
      <c r="D1" s="2" t="s">
        <v>107</v>
      </c>
      <c r="E1" s="2" t="s">
        <v>38</v>
      </c>
      <c r="F1" s="2" t="s">
        <v>36</v>
      </c>
    </row>
    <row r="2" spans="1:6" x14ac:dyDescent="0.25">
      <c r="A2" s="7" t="s">
        <v>108</v>
      </c>
      <c r="B2" s="7" t="s">
        <v>109</v>
      </c>
      <c r="C2" s="53">
        <f>1*Supuestos!$B$16</f>
        <v>4200</v>
      </c>
      <c r="D2" s="53">
        <f t="shared" ref="D2:D10" si="0">C2*12</f>
        <v>50400</v>
      </c>
      <c r="E2" s="74" t="s">
        <v>110</v>
      </c>
      <c r="F2" s="7" t="s">
        <v>111</v>
      </c>
    </row>
    <row r="3" spans="1:6" ht="30" customHeight="1" x14ac:dyDescent="0.25">
      <c r="A3" s="7" t="s">
        <v>112</v>
      </c>
      <c r="B3" s="7" t="s">
        <v>113</v>
      </c>
      <c r="C3" s="53">
        <f>21.1*Supuestos!$B$16</f>
        <v>88620</v>
      </c>
      <c r="D3" s="53">
        <f t="shared" si="0"/>
        <v>1063440</v>
      </c>
      <c r="E3" s="71"/>
      <c r="F3" s="7" t="s">
        <v>114</v>
      </c>
    </row>
    <row r="4" spans="1:6" ht="75" customHeight="1" x14ac:dyDescent="0.25">
      <c r="A4" s="7" t="s">
        <v>115</v>
      </c>
      <c r="B4" s="7" t="s">
        <v>116</v>
      </c>
      <c r="C4" s="53">
        <f>12.26*Supuestos!$B$16</f>
        <v>51492</v>
      </c>
      <c r="D4" s="53">
        <f t="shared" si="0"/>
        <v>617904</v>
      </c>
      <c r="E4" s="71"/>
      <c r="F4" s="7" t="s">
        <v>117</v>
      </c>
    </row>
    <row r="5" spans="1:6" ht="75" customHeight="1" x14ac:dyDescent="0.25">
      <c r="A5" s="7" t="s">
        <v>118</v>
      </c>
      <c r="B5" s="7" t="s">
        <v>119</v>
      </c>
      <c r="C5" s="56">
        <f>500*Supuestos!$B$16</f>
        <v>2100000</v>
      </c>
      <c r="D5" s="53">
        <f t="shared" si="0"/>
        <v>25200000</v>
      </c>
      <c r="E5" s="71"/>
      <c r="F5" s="7" t="s">
        <v>120</v>
      </c>
    </row>
    <row r="6" spans="1:6" ht="45" customHeight="1" x14ac:dyDescent="0.25">
      <c r="A6" s="7" t="s">
        <v>121</v>
      </c>
      <c r="B6" s="7" t="s">
        <v>122</v>
      </c>
      <c r="C6" s="56">
        <f>4.74*Supuestos!$B$16</f>
        <v>19908</v>
      </c>
      <c r="D6" s="53">
        <f t="shared" si="0"/>
        <v>238896</v>
      </c>
      <c r="E6" s="71"/>
      <c r="F6" s="7" t="s">
        <v>123</v>
      </c>
    </row>
    <row r="7" spans="1:6" ht="30" customHeight="1" x14ac:dyDescent="0.25">
      <c r="A7" s="7" t="s">
        <v>124</v>
      </c>
      <c r="B7" s="7" t="s">
        <v>125</v>
      </c>
      <c r="C7" s="56">
        <f>42.5*Supuestos!$B$16</f>
        <v>178500</v>
      </c>
      <c r="D7" s="53">
        <f t="shared" si="0"/>
        <v>2142000</v>
      </c>
      <c r="E7" s="71"/>
      <c r="F7" s="7" t="s">
        <v>126</v>
      </c>
    </row>
    <row r="8" spans="1:6" ht="30" customHeight="1" x14ac:dyDescent="0.25">
      <c r="A8" s="7" t="s">
        <v>127</v>
      </c>
      <c r="B8" s="7" t="s">
        <v>128</v>
      </c>
      <c r="C8" s="56">
        <f>20.71*Supuestos!$B$16</f>
        <v>86982</v>
      </c>
      <c r="D8" s="53">
        <f t="shared" si="0"/>
        <v>1043784</v>
      </c>
      <c r="E8" s="71"/>
      <c r="F8" s="7" t="s">
        <v>129</v>
      </c>
    </row>
    <row r="9" spans="1:6" x14ac:dyDescent="0.25">
      <c r="A9" s="7" t="s">
        <v>130</v>
      </c>
      <c r="B9" s="7" t="s">
        <v>131</v>
      </c>
      <c r="C9" s="56">
        <f>10*Supuestos!$B$16</f>
        <v>42000</v>
      </c>
      <c r="D9" s="53">
        <f t="shared" si="0"/>
        <v>504000</v>
      </c>
      <c r="E9" s="71"/>
      <c r="F9" s="7" t="s">
        <v>132</v>
      </c>
    </row>
    <row r="10" spans="1:6" ht="30" customHeight="1" x14ac:dyDescent="0.25">
      <c r="A10" s="7" t="s">
        <v>133</v>
      </c>
      <c r="B10" s="7" t="s">
        <v>134</v>
      </c>
      <c r="C10" s="56">
        <f>0.2*Supuestos!$B$16</f>
        <v>840</v>
      </c>
      <c r="D10" s="53">
        <f t="shared" si="0"/>
        <v>10080</v>
      </c>
      <c r="E10" s="72"/>
      <c r="F10" s="7" t="s">
        <v>135</v>
      </c>
    </row>
    <row r="11" spans="1:6" x14ac:dyDescent="0.25">
      <c r="A11" s="2" t="s">
        <v>136</v>
      </c>
      <c r="B11" s="1"/>
      <c r="C11" s="55">
        <f>SUM(C2:C10)</f>
        <v>2572542</v>
      </c>
      <c r="D11" s="55">
        <f>SUM(D2:D10)</f>
        <v>30870504</v>
      </c>
      <c r="E11" s="6"/>
      <c r="F11" s="1"/>
    </row>
  </sheetData>
  <mergeCells count="1">
    <mergeCell ref="E2:E10"/>
  </mergeCells>
  <hyperlinks>
    <hyperlink ref="E2" r:id="rId1" location="/addService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"/>
  <sheetViews>
    <sheetView workbookViewId="0">
      <selection activeCell="E33" sqref="E33"/>
    </sheetView>
  </sheetViews>
  <sheetFormatPr defaultRowHeight="15" x14ac:dyDescent="0.25"/>
  <cols>
    <col min="1" max="1" width="24.5703125" bestFit="1" customWidth="1"/>
    <col min="2" max="2" width="18" bestFit="1" customWidth="1"/>
    <col min="3" max="3" width="19.85546875" bestFit="1" customWidth="1"/>
    <col min="4" max="4" width="17.42578125" bestFit="1" customWidth="1"/>
    <col min="5" max="5" width="16.28515625" bestFit="1" customWidth="1"/>
    <col min="6" max="6" width="39.7109375" bestFit="1" customWidth="1"/>
  </cols>
  <sheetData>
    <row r="1" spans="1:6" x14ac:dyDescent="0.25">
      <c r="A1" s="2" t="s">
        <v>137</v>
      </c>
      <c r="B1" s="2" t="s">
        <v>138</v>
      </c>
      <c r="C1" s="2" t="s">
        <v>106</v>
      </c>
      <c r="D1" s="2" t="s">
        <v>107</v>
      </c>
      <c r="E1" s="2" t="s">
        <v>139</v>
      </c>
      <c r="F1" s="2" t="s">
        <v>36</v>
      </c>
    </row>
    <row r="2" spans="1:6" x14ac:dyDescent="0.25">
      <c r="A2" s="1" t="s">
        <v>140</v>
      </c>
      <c r="B2" s="1" t="s">
        <v>141</v>
      </c>
      <c r="C2" s="53">
        <v>0</v>
      </c>
      <c r="D2" s="53">
        <v>0</v>
      </c>
      <c r="E2" s="1" t="s">
        <v>142</v>
      </c>
      <c r="F2" s="1" t="s">
        <v>143</v>
      </c>
    </row>
    <row r="3" spans="1:6" x14ac:dyDescent="0.25">
      <c r="A3" s="1" t="s">
        <v>144</v>
      </c>
      <c r="B3" s="1" t="s">
        <v>145</v>
      </c>
      <c r="C3" s="53">
        <v>0</v>
      </c>
      <c r="D3" s="53">
        <v>0</v>
      </c>
      <c r="E3" s="1" t="s">
        <v>146</v>
      </c>
      <c r="F3" s="1" t="s">
        <v>147</v>
      </c>
    </row>
    <row r="4" spans="1:6" x14ac:dyDescent="0.25">
      <c r="A4" s="2" t="s">
        <v>148</v>
      </c>
      <c r="B4" s="1"/>
      <c r="C4" s="55">
        <f>SUM(C2:C3)</f>
        <v>0</v>
      </c>
      <c r="D4" s="55">
        <f>SUM(D2:D3)</f>
        <v>0</v>
      </c>
      <c r="E4" s="1"/>
      <c r="F4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"/>
  <sheetViews>
    <sheetView workbookViewId="0">
      <selection activeCell="F34" sqref="F34"/>
    </sheetView>
  </sheetViews>
  <sheetFormatPr defaultRowHeight="15" x14ac:dyDescent="0.25"/>
  <cols>
    <col min="1" max="1" width="21.85546875" bestFit="1" customWidth="1"/>
    <col min="2" max="2" width="16.5703125" bestFit="1" customWidth="1"/>
    <col min="3" max="3" width="26.140625" bestFit="1" customWidth="1"/>
    <col min="4" max="4" width="19.85546875" bestFit="1" customWidth="1"/>
    <col min="5" max="5" width="24.140625" bestFit="1" customWidth="1"/>
    <col min="6" max="6" width="30.42578125" bestFit="1" customWidth="1"/>
  </cols>
  <sheetData>
    <row r="1" spans="1:6" x14ac:dyDescent="0.25">
      <c r="A1" s="2" t="s">
        <v>149</v>
      </c>
      <c r="B1" s="2" t="s">
        <v>138</v>
      </c>
      <c r="C1" s="2" t="s">
        <v>150</v>
      </c>
      <c r="D1" s="2" t="s">
        <v>106</v>
      </c>
      <c r="E1" s="2" t="s">
        <v>38</v>
      </c>
      <c r="F1" s="2" t="s">
        <v>36</v>
      </c>
    </row>
    <row r="2" spans="1:6" x14ac:dyDescent="0.25">
      <c r="A2" s="1" t="s">
        <v>151</v>
      </c>
      <c r="B2" s="1" t="s">
        <v>152</v>
      </c>
      <c r="C2" s="1" t="s">
        <v>153</v>
      </c>
      <c r="D2" s="53">
        <f>(((Supuestos!$A$19*0.0265)+700)*1.19)*ROUND(500*0.35,0)</f>
        <v>2242852.5</v>
      </c>
      <c r="E2" s="10" t="s">
        <v>154</v>
      </c>
      <c r="F2" s="1" t="s">
        <v>155</v>
      </c>
    </row>
    <row r="3" spans="1:6" x14ac:dyDescent="0.25">
      <c r="A3" s="1" t="s">
        <v>156</v>
      </c>
      <c r="B3" s="1" t="s">
        <v>157</v>
      </c>
      <c r="C3" s="1" t="s">
        <v>158</v>
      </c>
      <c r="D3" s="53">
        <f>ROUND(0.12*2013*Supuestos!$B$16,0)</f>
        <v>1014552</v>
      </c>
      <c r="E3" s="10" t="s">
        <v>159</v>
      </c>
      <c r="F3" s="1" t="s">
        <v>160</v>
      </c>
    </row>
    <row r="4" spans="1:6" x14ac:dyDescent="0.25">
      <c r="A4" s="1" t="s">
        <v>161</v>
      </c>
      <c r="B4" s="1" t="s">
        <v>157</v>
      </c>
      <c r="C4" s="1" t="s">
        <v>162</v>
      </c>
      <c r="D4" s="53">
        <f>ROUND(0.1*(0.025*100000)*Supuestos!$B$16,0)</f>
        <v>1050000</v>
      </c>
      <c r="E4" s="10" t="s">
        <v>163</v>
      </c>
      <c r="F4" s="1" t="s">
        <v>164</v>
      </c>
    </row>
    <row r="5" spans="1:6" x14ac:dyDescent="0.25">
      <c r="A5" s="1" t="s">
        <v>165</v>
      </c>
      <c r="B5" s="1" t="s">
        <v>166</v>
      </c>
      <c r="C5" s="1" t="s">
        <v>167</v>
      </c>
      <c r="D5" s="53">
        <f>ROUND(0.15*(0.005*100000)*Supuestos!$B$16,0)</f>
        <v>315000</v>
      </c>
      <c r="E5" s="10" t="s">
        <v>168</v>
      </c>
      <c r="F5" s="1" t="s">
        <v>169</v>
      </c>
    </row>
    <row r="6" spans="1:6" x14ac:dyDescent="0.25">
      <c r="A6" s="2" t="s">
        <v>170</v>
      </c>
      <c r="B6" s="1"/>
      <c r="C6" s="1"/>
      <c r="D6" s="53">
        <f>SUM(D2:D5)</f>
        <v>4622404.5</v>
      </c>
      <c r="E6" s="4"/>
      <c r="F6" s="1"/>
    </row>
  </sheetData>
  <hyperlinks>
    <hyperlink ref="E2" r:id="rId1" xr:uid="{00000000-0004-0000-0500-000000000000}"/>
    <hyperlink ref="E3" r:id="rId2" location="pay-as-you-go" xr:uid="{00000000-0004-0000-0500-000001000000}"/>
    <hyperlink ref="E4" r:id="rId3" xr:uid="{00000000-0004-0000-0500-000002000000}"/>
    <hyperlink ref="E5" r:id="rId4" xr:uid="{00000000-0004-0000-0500-000003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2"/>
  <sheetViews>
    <sheetView workbookViewId="0">
      <selection activeCell="F35" sqref="F35"/>
    </sheetView>
  </sheetViews>
  <sheetFormatPr defaultRowHeight="15" x14ac:dyDescent="0.25"/>
  <cols>
    <col min="1" max="1" width="11.5703125" bestFit="1" customWidth="1"/>
    <col min="2" max="2" width="24.85546875" bestFit="1" customWidth="1"/>
    <col min="3" max="3" width="19.85546875" bestFit="1" customWidth="1"/>
    <col min="4" max="4" width="17.42578125" bestFit="1" customWidth="1"/>
    <col min="5" max="5" width="22.85546875" bestFit="1" customWidth="1"/>
    <col min="6" max="6" width="35" bestFit="1" customWidth="1"/>
  </cols>
  <sheetData>
    <row r="1" spans="1:6" x14ac:dyDescent="0.25">
      <c r="A1" s="2" t="s">
        <v>35</v>
      </c>
      <c r="B1" s="2" t="s">
        <v>171</v>
      </c>
      <c r="C1" s="2" t="s">
        <v>106</v>
      </c>
      <c r="D1" s="2" t="s">
        <v>107</v>
      </c>
      <c r="E1" s="2" t="s">
        <v>38</v>
      </c>
      <c r="F1" s="2" t="s">
        <v>36</v>
      </c>
    </row>
    <row r="2" spans="1:6" x14ac:dyDescent="0.25">
      <c r="A2" s="70" t="s">
        <v>172</v>
      </c>
      <c r="B2" s="1" t="s">
        <v>173</v>
      </c>
      <c r="C2" s="53">
        <v>8000000</v>
      </c>
      <c r="D2" s="53">
        <f t="shared" ref="D2:D11" si="0">C2*12</f>
        <v>96000000</v>
      </c>
      <c r="E2" s="76" t="s">
        <v>85</v>
      </c>
      <c r="F2" s="1" t="s">
        <v>174</v>
      </c>
    </row>
    <row r="3" spans="1:6" x14ac:dyDescent="0.25">
      <c r="A3" s="71"/>
      <c r="B3" s="1" t="s">
        <v>175</v>
      </c>
      <c r="C3" s="53">
        <v>3600000</v>
      </c>
      <c r="D3" s="53">
        <f t="shared" si="0"/>
        <v>43200000</v>
      </c>
      <c r="E3" s="71"/>
      <c r="F3" s="1" t="s">
        <v>176</v>
      </c>
    </row>
    <row r="4" spans="1:6" x14ac:dyDescent="0.25">
      <c r="A4" s="71"/>
      <c r="B4" s="1" t="s">
        <v>177</v>
      </c>
      <c r="C4" s="53">
        <v>5500000</v>
      </c>
      <c r="D4" s="53">
        <f t="shared" si="0"/>
        <v>66000000</v>
      </c>
      <c r="E4" s="71"/>
      <c r="F4" s="1" t="s">
        <v>178</v>
      </c>
    </row>
    <row r="5" spans="1:6" x14ac:dyDescent="0.25">
      <c r="A5" s="71"/>
      <c r="B5" s="1" t="s">
        <v>179</v>
      </c>
      <c r="C5" s="53">
        <v>3000000</v>
      </c>
      <c r="D5" s="53">
        <f t="shared" si="0"/>
        <v>36000000</v>
      </c>
      <c r="E5" s="71"/>
      <c r="F5" s="1" t="s">
        <v>180</v>
      </c>
    </row>
    <row r="6" spans="1:6" x14ac:dyDescent="0.25">
      <c r="A6" s="71"/>
      <c r="B6" s="1" t="s">
        <v>181</v>
      </c>
      <c r="C6" s="53">
        <v>1200000</v>
      </c>
      <c r="D6" s="53">
        <f t="shared" si="0"/>
        <v>14400000</v>
      </c>
      <c r="E6" s="72"/>
      <c r="F6" s="1" t="s">
        <v>182</v>
      </c>
    </row>
    <row r="7" spans="1:6" x14ac:dyDescent="0.25">
      <c r="A7" s="71"/>
      <c r="B7" s="75" t="s">
        <v>183</v>
      </c>
      <c r="C7" s="53">
        <f>95000*5</f>
        <v>475000</v>
      </c>
      <c r="D7" s="53">
        <f t="shared" si="0"/>
        <v>5700000</v>
      </c>
      <c r="E7" s="12" t="s">
        <v>184</v>
      </c>
      <c r="F7" s="1" t="s">
        <v>185</v>
      </c>
    </row>
    <row r="8" spans="1:6" x14ac:dyDescent="0.25">
      <c r="A8" s="72"/>
      <c r="B8" s="72"/>
      <c r="C8" s="53">
        <f>180000*5</f>
        <v>900000</v>
      </c>
      <c r="D8" s="53">
        <f t="shared" si="0"/>
        <v>10800000</v>
      </c>
      <c r="E8" s="13" t="s">
        <v>186</v>
      </c>
      <c r="F8" s="1" t="s">
        <v>187</v>
      </c>
    </row>
    <row r="9" spans="1:6" ht="15" customHeight="1" x14ac:dyDescent="0.25">
      <c r="A9" s="70" t="s">
        <v>188</v>
      </c>
      <c r="B9" s="1" t="s">
        <v>189</v>
      </c>
      <c r="C9" s="53">
        <f>Cloud!$C$11</f>
        <v>2572542</v>
      </c>
      <c r="D9" s="53">
        <f t="shared" si="0"/>
        <v>30870504</v>
      </c>
      <c r="E9" s="13" t="s">
        <v>110</v>
      </c>
      <c r="F9" s="1" t="s">
        <v>190</v>
      </c>
    </row>
    <row r="10" spans="1:6" x14ac:dyDescent="0.25">
      <c r="A10" s="71"/>
      <c r="B10" s="1" t="s">
        <v>191</v>
      </c>
      <c r="C10" s="53">
        <v>3370000</v>
      </c>
      <c r="D10" s="53">
        <f t="shared" si="0"/>
        <v>40440000</v>
      </c>
      <c r="E10" s="14" t="s">
        <v>102</v>
      </c>
      <c r="F10" s="1" t="s">
        <v>192</v>
      </c>
    </row>
    <row r="11" spans="1:6" x14ac:dyDescent="0.25">
      <c r="A11" s="72"/>
      <c r="B11" s="1" t="s">
        <v>193</v>
      </c>
      <c r="C11" s="53">
        <f>Transaccional!$D$6</f>
        <v>4622404.5</v>
      </c>
      <c r="D11" s="53">
        <f t="shared" si="0"/>
        <v>55468854</v>
      </c>
      <c r="E11" s="13" t="s">
        <v>194</v>
      </c>
      <c r="F11" s="1" t="s">
        <v>195</v>
      </c>
    </row>
    <row r="12" spans="1:6" x14ac:dyDescent="0.25">
      <c r="A12" s="2" t="s">
        <v>196</v>
      </c>
      <c r="B12" s="1"/>
      <c r="C12" s="55">
        <f>SUM(C2:C11)</f>
        <v>33239946.5</v>
      </c>
      <c r="D12" s="55">
        <f>SUM(D2:D11)</f>
        <v>398879358</v>
      </c>
      <c r="E12" s="11"/>
      <c r="F12" s="1"/>
    </row>
  </sheetData>
  <mergeCells count="4">
    <mergeCell ref="B7:B8"/>
    <mergeCell ref="E2:E6"/>
    <mergeCell ref="A2:A8"/>
    <mergeCell ref="A9:A11"/>
  </mergeCells>
  <hyperlinks>
    <hyperlink ref="E2" r:id="rId1" xr:uid="{00000000-0004-0000-0600-000000000000}"/>
    <hyperlink ref="E7" r:id="rId2" xr:uid="{00000000-0004-0000-0600-000001000000}"/>
    <hyperlink ref="E8" r:id="rId3" xr:uid="{00000000-0004-0000-0600-000002000000}"/>
    <hyperlink ref="E9" r:id="rId4" location="/addService" xr:uid="{00000000-0004-0000-0600-000003000000}"/>
    <hyperlink ref="E10" r:id="rId5" xr:uid="{00000000-0004-0000-0600-000004000000}"/>
    <hyperlink ref="E11" location="Transaccional!A1" display="Transaccional" xr:uid="{00000000-0004-0000-0600-000005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61"/>
  <sheetViews>
    <sheetView topLeftCell="A40" zoomScaleNormal="100" workbookViewId="0">
      <selection activeCell="D73" sqref="D73"/>
    </sheetView>
  </sheetViews>
  <sheetFormatPr defaultRowHeight="15" x14ac:dyDescent="0.25"/>
  <cols>
    <col min="1" max="1" width="32.5703125" bestFit="1" customWidth="1"/>
    <col min="2" max="2" width="16.28515625" bestFit="1" customWidth="1"/>
    <col min="3" max="3" width="9.7109375" bestFit="1" customWidth="1"/>
    <col min="4" max="4" width="76.42578125" bestFit="1" customWidth="1"/>
  </cols>
  <sheetData>
    <row r="1" spans="1:4" x14ac:dyDescent="0.25">
      <c r="A1" s="77" t="s">
        <v>197</v>
      </c>
      <c r="B1" s="78"/>
      <c r="C1" s="78"/>
      <c r="D1" s="78"/>
    </row>
    <row r="2" spans="1:4" x14ac:dyDescent="0.25">
      <c r="A2" s="79"/>
      <c r="B2" s="79"/>
      <c r="C2" s="79"/>
      <c r="D2" s="79"/>
    </row>
    <row r="3" spans="1:4" x14ac:dyDescent="0.25">
      <c r="A3" s="2" t="s">
        <v>198</v>
      </c>
      <c r="B3" s="2" t="s">
        <v>19</v>
      </c>
      <c r="C3" s="2" t="s">
        <v>199</v>
      </c>
      <c r="D3" s="2" t="s">
        <v>200</v>
      </c>
    </row>
    <row r="5" spans="1:4" x14ac:dyDescent="0.25">
      <c r="A5" s="66" t="s">
        <v>201</v>
      </c>
      <c r="B5" s="67"/>
      <c r="C5" s="67"/>
      <c r="D5" s="68"/>
    </row>
    <row r="6" spans="1:4" x14ac:dyDescent="0.25">
      <c r="A6" s="21" t="s">
        <v>202</v>
      </c>
      <c r="B6" s="1">
        <v>180</v>
      </c>
      <c r="C6" s="22" t="s">
        <v>203</v>
      </c>
      <c r="D6" s="21" t="s">
        <v>204</v>
      </c>
    </row>
    <row r="7" spans="1:4" x14ac:dyDescent="0.25">
      <c r="A7" s="21" t="s">
        <v>205</v>
      </c>
      <c r="B7" s="1">
        <v>100</v>
      </c>
      <c r="C7" s="22" t="s">
        <v>203</v>
      </c>
      <c r="D7" s="21" t="s">
        <v>206</v>
      </c>
    </row>
    <row r="8" spans="1:4" x14ac:dyDescent="0.25">
      <c r="A8" s="21" t="s">
        <v>207</v>
      </c>
      <c r="B8" s="19">
        <v>0.05</v>
      </c>
      <c r="C8" s="22" t="s">
        <v>208</v>
      </c>
      <c r="D8" s="21" t="s">
        <v>209</v>
      </c>
    </row>
    <row r="9" spans="1:4" x14ac:dyDescent="0.25">
      <c r="A9" s="21" t="s">
        <v>210</v>
      </c>
      <c r="B9" s="19">
        <v>0.1</v>
      </c>
      <c r="C9" s="22" t="s">
        <v>211</v>
      </c>
      <c r="D9" s="21" t="s">
        <v>212</v>
      </c>
    </row>
    <row r="10" spans="1:4" x14ac:dyDescent="0.25">
      <c r="A10" s="21" t="s">
        <v>213</v>
      </c>
      <c r="B10" s="19">
        <v>0.02</v>
      </c>
      <c r="C10" s="22" t="s">
        <v>208</v>
      </c>
      <c r="D10" s="21" t="s">
        <v>214</v>
      </c>
    </row>
    <row r="11" spans="1:4" x14ac:dyDescent="0.25">
      <c r="A11" s="21" t="s">
        <v>215</v>
      </c>
      <c r="B11" s="19">
        <v>0.12</v>
      </c>
      <c r="C11" s="22" t="s">
        <v>208</v>
      </c>
      <c r="D11" s="21" t="s">
        <v>216</v>
      </c>
    </row>
    <row r="12" spans="1:4" x14ac:dyDescent="0.25">
      <c r="A12" s="21" t="s">
        <v>217</v>
      </c>
      <c r="B12" s="19">
        <v>7.0000000000000007E-2</v>
      </c>
      <c r="C12" s="22" t="s">
        <v>208</v>
      </c>
      <c r="D12" s="21" t="s">
        <v>218</v>
      </c>
    </row>
    <row r="13" spans="1:4" x14ac:dyDescent="0.25">
      <c r="A13" s="21" t="s">
        <v>219</v>
      </c>
      <c r="B13" s="19">
        <v>0.03</v>
      </c>
      <c r="C13" s="22" t="s">
        <v>208</v>
      </c>
      <c r="D13" s="21" t="s">
        <v>220</v>
      </c>
    </row>
    <row r="14" spans="1:4" x14ac:dyDescent="0.25">
      <c r="A14" s="21" t="s">
        <v>221</v>
      </c>
      <c r="B14" s="1">
        <v>0.5</v>
      </c>
      <c r="C14" s="22" t="s">
        <v>222</v>
      </c>
      <c r="D14" s="21" t="s">
        <v>223</v>
      </c>
    </row>
    <row r="15" spans="1:4" x14ac:dyDescent="0.25">
      <c r="A15" s="21" t="s">
        <v>224</v>
      </c>
      <c r="B15" s="1">
        <v>2</v>
      </c>
      <c r="C15" s="22" t="s">
        <v>222</v>
      </c>
      <c r="D15" s="21" t="s">
        <v>225</v>
      </c>
    </row>
    <row r="17" spans="1:4" x14ac:dyDescent="0.25">
      <c r="A17" s="66" t="s">
        <v>226</v>
      </c>
      <c r="B17" s="67"/>
      <c r="C17" s="67"/>
      <c r="D17" s="68"/>
    </row>
    <row r="18" spans="1:4" x14ac:dyDescent="0.25">
      <c r="A18" s="21" t="s">
        <v>227</v>
      </c>
      <c r="B18" s="1">
        <v>20</v>
      </c>
      <c r="C18" s="22" t="s">
        <v>228</v>
      </c>
      <c r="D18" s="21" t="s">
        <v>229</v>
      </c>
    </row>
    <row r="19" spans="1:4" x14ac:dyDescent="0.25">
      <c r="A19" s="21" t="s">
        <v>230</v>
      </c>
      <c r="B19" s="1">
        <v>200</v>
      </c>
      <c r="C19" s="22" t="s">
        <v>228</v>
      </c>
      <c r="D19" s="21" t="s">
        <v>231</v>
      </c>
    </row>
    <row r="20" spans="1:4" x14ac:dyDescent="0.25">
      <c r="A20" s="21" t="s">
        <v>232</v>
      </c>
      <c r="B20" s="1">
        <v>2</v>
      </c>
      <c r="C20" s="22" t="s">
        <v>233</v>
      </c>
      <c r="D20" s="21" t="s">
        <v>234</v>
      </c>
    </row>
    <row r="21" spans="1:4" x14ac:dyDescent="0.25">
      <c r="A21" s="21" t="s">
        <v>235</v>
      </c>
      <c r="B21" s="53">
        <v>1500000</v>
      </c>
      <c r="C21" s="22" t="s">
        <v>236</v>
      </c>
      <c r="D21" s="21" t="s">
        <v>237</v>
      </c>
    </row>
    <row r="22" spans="1:4" x14ac:dyDescent="0.25">
      <c r="A22" s="21" t="s">
        <v>238</v>
      </c>
      <c r="B22" s="53">
        <v>30000</v>
      </c>
      <c r="C22" s="22" t="s">
        <v>239</v>
      </c>
      <c r="D22" s="21" t="s">
        <v>240</v>
      </c>
    </row>
    <row r="24" spans="1:4" x14ac:dyDescent="0.25">
      <c r="A24" s="80" t="s">
        <v>241</v>
      </c>
      <c r="B24" s="67"/>
      <c r="C24" s="67"/>
      <c r="D24" s="68"/>
    </row>
    <row r="25" spans="1:4" x14ac:dyDescent="0.25">
      <c r="A25" s="21" t="s">
        <v>242</v>
      </c>
      <c r="B25" s="53">
        <v>32900</v>
      </c>
      <c r="C25" s="22" t="s">
        <v>239</v>
      </c>
      <c r="D25" s="21" t="s">
        <v>243</v>
      </c>
    </row>
    <row r="26" spans="1:4" x14ac:dyDescent="0.25">
      <c r="A26" s="21" t="s">
        <v>244</v>
      </c>
      <c r="B26" s="53">
        <f>Supuestos!$A$19</f>
        <v>380000</v>
      </c>
      <c r="C26" s="22" t="s">
        <v>79</v>
      </c>
      <c r="D26" s="21" t="s">
        <v>245</v>
      </c>
    </row>
    <row r="27" spans="1:4" x14ac:dyDescent="0.25">
      <c r="A27" s="21" t="s">
        <v>246</v>
      </c>
      <c r="B27" s="20">
        <v>5.5E-2</v>
      </c>
      <c r="C27" s="22" t="s">
        <v>211</v>
      </c>
      <c r="D27" s="21" t="s">
        <v>247</v>
      </c>
    </row>
    <row r="28" spans="1:4" x14ac:dyDescent="0.25">
      <c r="A28" s="21" t="s">
        <v>248</v>
      </c>
      <c r="B28" s="53">
        <f>(B26*0.0265)+700</f>
        <v>10770</v>
      </c>
      <c r="C28" s="22" t="s">
        <v>249</v>
      </c>
      <c r="D28" s="21" t="s">
        <v>250</v>
      </c>
    </row>
    <row r="29" spans="1:4" x14ac:dyDescent="0.25">
      <c r="A29" s="21" t="s">
        <v>251</v>
      </c>
      <c r="B29" s="53">
        <v>700000</v>
      </c>
      <c r="C29" s="22" t="s">
        <v>79</v>
      </c>
      <c r="D29" s="21" t="s">
        <v>252</v>
      </c>
    </row>
    <row r="30" spans="1:4" x14ac:dyDescent="0.25">
      <c r="A30" s="21" t="s">
        <v>253</v>
      </c>
      <c r="B30" s="1">
        <v>3</v>
      </c>
      <c r="C30" s="22" t="s">
        <v>254</v>
      </c>
      <c r="D30" s="21" t="s">
        <v>255</v>
      </c>
    </row>
    <row r="31" spans="1:4" x14ac:dyDescent="0.25">
      <c r="A31" s="21" t="s">
        <v>256</v>
      </c>
      <c r="B31" s="1">
        <v>2</v>
      </c>
      <c r="C31" s="22" t="s">
        <v>257</v>
      </c>
      <c r="D31" s="21" t="s">
        <v>258</v>
      </c>
    </row>
    <row r="32" spans="1:4" x14ac:dyDescent="0.25">
      <c r="A32" s="21" t="s">
        <v>259</v>
      </c>
      <c r="B32" s="1">
        <v>1</v>
      </c>
      <c r="C32" s="22" t="s">
        <v>257</v>
      </c>
      <c r="D32" s="21" t="s">
        <v>260</v>
      </c>
    </row>
    <row r="34" spans="1:4" x14ac:dyDescent="0.25">
      <c r="A34" s="66" t="s">
        <v>261</v>
      </c>
      <c r="B34" s="67"/>
      <c r="C34" s="67"/>
      <c r="D34" s="68"/>
    </row>
    <row r="35" spans="1:4" x14ac:dyDescent="0.25">
      <c r="A35" s="21" t="s">
        <v>262</v>
      </c>
      <c r="B35" s="53">
        <v>15000</v>
      </c>
      <c r="C35" s="22" t="s">
        <v>79</v>
      </c>
      <c r="D35" s="21" t="s">
        <v>263</v>
      </c>
    </row>
    <row r="36" spans="1:4" x14ac:dyDescent="0.25">
      <c r="A36" s="21" t="s">
        <v>264</v>
      </c>
      <c r="B36" s="53">
        <v>45000</v>
      </c>
      <c r="C36" s="22" t="s">
        <v>79</v>
      </c>
      <c r="D36" s="21" t="s">
        <v>265</v>
      </c>
    </row>
    <row r="37" spans="1:4" x14ac:dyDescent="0.25">
      <c r="A37" s="21" t="s">
        <v>266</v>
      </c>
      <c r="B37" s="53">
        <f>Inputs!$B$54</f>
        <v>1800000</v>
      </c>
      <c r="C37" s="22" t="s">
        <v>79</v>
      </c>
      <c r="D37" s="21" t="s">
        <v>267</v>
      </c>
    </row>
    <row r="39" spans="1:4" x14ac:dyDescent="0.25">
      <c r="A39" s="80" t="s">
        <v>268</v>
      </c>
      <c r="B39" s="67"/>
      <c r="C39" s="67"/>
      <c r="D39" s="68"/>
    </row>
    <row r="40" spans="1:4" x14ac:dyDescent="0.25">
      <c r="A40" s="21" t="s">
        <v>269</v>
      </c>
      <c r="B40" s="53">
        <f>SUM(OPEX!C2:'OPEX'!C8)</f>
        <v>22675000</v>
      </c>
      <c r="C40" s="22" t="s">
        <v>239</v>
      </c>
      <c r="D40" s="21" t="s">
        <v>270</v>
      </c>
    </row>
    <row r="41" spans="1:4" x14ac:dyDescent="0.25">
      <c r="A41" s="21" t="s">
        <v>271</v>
      </c>
      <c r="B41" s="53">
        <f>Cloud!$C$11+Inputs!$B$22</f>
        <v>2602542</v>
      </c>
      <c r="C41" s="22" t="s">
        <v>239</v>
      </c>
      <c r="D41" s="21" t="s">
        <v>272</v>
      </c>
    </row>
    <row r="42" spans="1:4" x14ac:dyDescent="0.25">
      <c r="A42" s="21" t="s">
        <v>273</v>
      </c>
      <c r="B42" s="53">
        <v>1900000</v>
      </c>
      <c r="C42" s="22" t="s">
        <v>239</v>
      </c>
      <c r="D42" s="21" t="s">
        <v>274</v>
      </c>
    </row>
    <row r="43" spans="1:4" x14ac:dyDescent="0.25">
      <c r="A43" s="21" t="s">
        <v>275</v>
      </c>
      <c r="B43" s="53">
        <v>2400000</v>
      </c>
      <c r="C43" s="22" t="s">
        <v>239</v>
      </c>
      <c r="D43" s="21" t="s">
        <v>276</v>
      </c>
    </row>
    <row r="44" spans="1:4" x14ac:dyDescent="0.25">
      <c r="A44" s="21" t="s">
        <v>277</v>
      </c>
      <c r="B44" s="53">
        <v>720</v>
      </c>
      <c r="C44" s="22" t="s">
        <v>278</v>
      </c>
      <c r="D44" s="21" t="s">
        <v>279</v>
      </c>
    </row>
    <row r="46" spans="1:4" x14ac:dyDescent="0.25">
      <c r="A46" s="80" t="s">
        <v>280</v>
      </c>
      <c r="B46" s="67"/>
      <c r="C46" s="67"/>
      <c r="D46" s="68"/>
    </row>
    <row r="47" spans="1:4" x14ac:dyDescent="0.25">
      <c r="A47" s="21" t="s">
        <v>281</v>
      </c>
      <c r="B47" s="53">
        <f>CAPEX!$C$8</f>
        <v>218087168</v>
      </c>
      <c r="C47" s="22" t="s">
        <v>79</v>
      </c>
      <c r="D47" s="21" t="s">
        <v>282</v>
      </c>
    </row>
    <row r="48" spans="1:4" x14ac:dyDescent="0.25">
      <c r="A48" s="21" t="s">
        <v>283</v>
      </c>
      <c r="B48" s="1">
        <v>36</v>
      </c>
      <c r="C48" s="22" t="s">
        <v>284</v>
      </c>
      <c r="D48" s="21" t="s">
        <v>285</v>
      </c>
    </row>
    <row r="50" spans="1:4" x14ac:dyDescent="0.25">
      <c r="A50" s="66" t="s">
        <v>286</v>
      </c>
      <c r="B50" s="67"/>
      <c r="C50" s="67"/>
      <c r="D50" s="68"/>
    </row>
    <row r="51" spans="1:4" x14ac:dyDescent="0.25">
      <c r="A51" s="21" t="s">
        <v>287</v>
      </c>
      <c r="B51" s="53">
        <f>4200</f>
        <v>4200</v>
      </c>
      <c r="C51" s="22" t="s">
        <v>288</v>
      </c>
      <c r="D51" s="21" t="s">
        <v>289</v>
      </c>
    </row>
    <row r="52" spans="1:4" x14ac:dyDescent="0.25">
      <c r="A52" s="21" t="s">
        <v>290</v>
      </c>
      <c r="B52" s="18">
        <f>33%</f>
        <v>0.33</v>
      </c>
      <c r="C52" s="22" t="s">
        <v>211</v>
      </c>
      <c r="D52" s="21" t="s">
        <v>291</v>
      </c>
    </row>
    <row r="54" spans="1:4" x14ac:dyDescent="0.25">
      <c r="A54" s="1" t="s">
        <v>292</v>
      </c>
      <c r="B54" s="54">
        <v>1800000</v>
      </c>
      <c r="C54" s="1" t="s">
        <v>79</v>
      </c>
      <c r="D54" s="1" t="s">
        <v>293</v>
      </c>
    </row>
    <row r="55" spans="1:4" x14ac:dyDescent="0.25">
      <c r="A55" s="1" t="s">
        <v>294</v>
      </c>
      <c r="B55" s="44">
        <v>0.18</v>
      </c>
      <c r="C55" s="1" t="s">
        <v>295</v>
      </c>
      <c r="D55" s="1" t="s">
        <v>296</v>
      </c>
    </row>
    <row r="56" spans="1:4" x14ac:dyDescent="0.25">
      <c r="A56" s="1" t="s">
        <v>297</v>
      </c>
      <c r="B56" s="44">
        <v>0.22</v>
      </c>
      <c r="C56" s="1" t="s">
        <v>295</v>
      </c>
      <c r="D56" s="1" t="s">
        <v>298</v>
      </c>
    </row>
    <row r="57" spans="1:4" x14ac:dyDescent="0.25">
      <c r="A57" s="1" t="s">
        <v>299</v>
      </c>
      <c r="B57" s="44">
        <v>4.4999999999999998E-2</v>
      </c>
      <c r="C57" s="1" t="s">
        <v>295</v>
      </c>
      <c r="D57" s="1" t="s">
        <v>300</v>
      </c>
    </row>
    <row r="58" spans="1:4" x14ac:dyDescent="0.25">
      <c r="A58" s="1" t="s">
        <v>301</v>
      </c>
      <c r="B58" s="54">
        <v>95000000</v>
      </c>
      <c r="C58" s="1" t="s">
        <v>79</v>
      </c>
      <c r="D58" s="1" t="s">
        <v>302</v>
      </c>
    </row>
    <row r="59" spans="1:4" x14ac:dyDescent="0.25">
      <c r="A59" s="1" t="s">
        <v>303</v>
      </c>
      <c r="B59" s="43">
        <v>0.18</v>
      </c>
      <c r="C59" s="1" t="s">
        <v>295</v>
      </c>
      <c r="D59" s="1"/>
    </row>
    <row r="60" spans="1:4" x14ac:dyDescent="0.25">
      <c r="A60" s="1" t="s">
        <v>304</v>
      </c>
      <c r="B60" s="1">
        <v>36</v>
      </c>
      <c r="C60" s="1" t="s">
        <v>284</v>
      </c>
      <c r="D60" s="1"/>
    </row>
    <row r="61" spans="1:4" x14ac:dyDescent="0.25">
      <c r="A61" s="1" t="s">
        <v>305</v>
      </c>
      <c r="B61" s="1">
        <v>1</v>
      </c>
      <c r="C61" s="1" t="s">
        <v>284</v>
      </c>
      <c r="D61" s="1"/>
    </row>
  </sheetData>
  <mergeCells count="8">
    <mergeCell ref="A5:D5"/>
    <mergeCell ref="A17:D17"/>
    <mergeCell ref="A1:D2"/>
    <mergeCell ref="A34:D34"/>
    <mergeCell ref="A50:D50"/>
    <mergeCell ref="A39:D39"/>
    <mergeCell ref="A24:D24"/>
    <mergeCell ref="A46:D4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3"/>
  <sheetViews>
    <sheetView workbookViewId="0">
      <selection activeCell="I8" sqref="I8"/>
    </sheetView>
  </sheetViews>
  <sheetFormatPr defaultRowHeight="15" x14ac:dyDescent="0.25"/>
  <cols>
    <col min="1" max="1" width="31.85546875" bestFit="1" customWidth="1"/>
    <col min="2" max="2" width="11.42578125" bestFit="1" customWidth="1"/>
    <col min="3" max="3" width="14.42578125" bestFit="1" customWidth="1"/>
    <col min="4" max="4" width="13.85546875" bestFit="1" customWidth="1"/>
    <col min="5" max="5" width="74" bestFit="1" customWidth="1"/>
  </cols>
  <sheetData>
    <row r="1" spans="1:5" x14ac:dyDescent="0.25">
      <c r="A1" s="69" t="s">
        <v>306</v>
      </c>
      <c r="B1" s="67"/>
      <c r="C1" s="67"/>
      <c r="D1" s="67"/>
      <c r="E1" s="68"/>
    </row>
    <row r="2" spans="1:5" x14ac:dyDescent="0.25">
      <c r="A2" s="2" t="s">
        <v>18</v>
      </c>
      <c r="B2" s="2" t="s">
        <v>307</v>
      </c>
      <c r="C2" s="2" t="s">
        <v>308</v>
      </c>
      <c r="D2" s="2" t="s">
        <v>309</v>
      </c>
      <c r="E2" s="2" t="s">
        <v>310</v>
      </c>
    </row>
    <row r="4" spans="1:5" x14ac:dyDescent="0.25">
      <c r="A4" s="66" t="s">
        <v>311</v>
      </c>
      <c r="B4" s="67"/>
      <c r="C4" s="67"/>
      <c r="D4" s="67"/>
      <c r="E4" s="68"/>
    </row>
    <row r="5" spans="1:5" x14ac:dyDescent="0.25">
      <c r="A5" s="21" t="s">
        <v>312</v>
      </c>
      <c r="B5" s="58">
        <f>Inputs!$B$14*Inputs!$B$26*Inputs!$B$27</f>
        <v>10450</v>
      </c>
      <c r="C5" s="58">
        <f>Inputs!$B$15*Inputs!$B$26*Inputs!$B$27</f>
        <v>41800</v>
      </c>
      <c r="D5" s="58">
        <v>0</v>
      </c>
      <c r="E5" s="21" t="s">
        <v>313</v>
      </c>
    </row>
    <row r="6" spans="1:5" x14ac:dyDescent="0.25">
      <c r="A6" s="21" t="s">
        <v>314</v>
      </c>
      <c r="B6" s="58">
        <v>0</v>
      </c>
      <c r="C6" s="58">
        <f>Inputs!$B$25</f>
        <v>32900</v>
      </c>
      <c r="D6" s="58">
        <v>0</v>
      </c>
      <c r="E6" s="21" t="s">
        <v>315</v>
      </c>
    </row>
    <row r="7" spans="1:5" x14ac:dyDescent="0.25">
      <c r="A7" s="21" t="s">
        <v>316</v>
      </c>
      <c r="B7" s="58">
        <v>0</v>
      </c>
      <c r="C7" s="58">
        <v>0</v>
      </c>
      <c r="D7" s="58">
        <f>Inputs!$B$29</f>
        <v>700000</v>
      </c>
      <c r="E7" s="21" t="s">
        <v>317</v>
      </c>
    </row>
    <row r="8" spans="1:5" x14ac:dyDescent="0.25">
      <c r="A8" s="21" t="s">
        <v>318</v>
      </c>
      <c r="B8" s="58">
        <f>SUM(B5:B7)</f>
        <v>10450</v>
      </c>
      <c r="C8" s="58">
        <f>SUM(C5:C7)</f>
        <v>74700</v>
      </c>
      <c r="D8" s="58">
        <f>SUM(D5:D7)</f>
        <v>700000</v>
      </c>
      <c r="E8" s="21" t="s">
        <v>319</v>
      </c>
    </row>
    <row r="10" spans="1:5" x14ac:dyDescent="0.25">
      <c r="A10" s="82" t="s">
        <v>320</v>
      </c>
      <c r="B10" s="67"/>
      <c r="C10" s="67"/>
      <c r="D10" s="67"/>
      <c r="E10" s="68"/>
    </row>
    <row r="11" spans="1:5" x14ac:dyDescent="0.25">
      <c r="A11" s="21" t="s">
        <v>321</v>
      </c>
      <c r="B11" s="58">
        <f>Inputs!$B$14*Inputs!$B$28</f>
        <v>5385</v>
      </c>
      <c r="C11" s="58">
        <f>Inputs!$B$15*Inputs!$B$28</f>
        <v>21540</v>
      </c>
      <c r="D11" s="58">
        <f>0</f>
        <v>0</v>
      </c>
      <c r="E11" s="21" t="s">
        <v>322</v>
      </c>
    </row>
    <row r="12" spans="1:5" x14ac:dyDescent="0.25">
      <c r="A12" s="21" t="s">
        <v>323</v>
      </c>
      <c r="B12" s="58">
        <f>Inputs!$B$18*Inputs!$B$20</f>
        <v>40</v>
      </c>
      <c r="C12" s="58">
        <f>Inputs!$B$19*Inputs!$B$20</f>
        <v>400</v>
      </c>
      <c r="D12" s="58">
        <f>Inputs!$B$19*Inputs!$B$20*2</f>
        <v>800</v>
      </c>
      <c r="E12" s="21" t="s">
        <v>324</v>
      </c>
    </row>
    <row r="13" spans="1:5" x14ac:dyDescent="0.25">
      <c r="A13" s="21" t="s">
        <v>325</v>
      </c>
      <c r="B13" s="58">
        <f>Inputs!$B$44</f>
        <v>720</v>
      </c>
      <c r="C13" s="58">
        <f>Inputs!$B$44</f>
        <v>720</v>
      </c>
      <c r="D13" s="58">
        <f>Inputs!$B$44*2</f>
        <v>1440</v>
      </c>
      <c r="E13" s="21" t="s">
        <v>326</v>
      </c>
    </row>
    <row r="14" spans="1:5" x14ac:dyDescent="0.25">
      <c r="A14" s="21" t="s">
        <v>327</v>
      </c>
      <c r="B14" s="58">
        <f>SUM(B11:B13)</f>
        <v>6145</v>
      </c>
      <c r="C14" s="58">
        <f>SUM(C11:C13)</f>
        <v>22660</v>
      </c>
      <c r="D14" s="58">
        <f>SUM(D11:D13)</f>
        <v>2240</v>
      </c>
      <c r="E14" s="21" t="s">
        <v>328</v>
      </c>
    </row>
    <row r="16" spans="1:5" x14ac:dyDescent="0.25">
      <c r="A16" s="82" t="s">
        <v>329</v>
      </c>
      <c r="B16" s="67"/>
      <c r="C16" s="67"/>
      <c r="D16" s="67"/>
      <c r="E16" s="68"/>
    </row>
    <row r="17" spans="1:5" x14ac:dyDescent="0.25">
      <c r="A17" s="21" t="s">
        <v>330</v>
      </c>
      <c r="B17" s="58">
        <f>B8-B14</f>
        <v>4305</v>
      </c>
      <c r="C17" s="58">
        <f>C8-C14</f>
        <v>52040</v>
      </c>
      <c r="D17" s="58">
        <f>D8-D14</f>
        <v>697760</v>
      </c>
      <c r="E17" s="21" t="s">
        <v>331</v>
      </c>
    </row>
    <row r="18" spans="1:5" x14ac:dyDescent="0.25">
      <c r="A18" s="21" t="s">
        <v>332</v>
      </c>
      <c r="B18" s="25">
        <f>IFERROR((B8-B14)/B8,0)</f>
        <v>0.41196172248803825</v>
      </c>
      <c r="C18" s="25">
        <f>IFERROR((C8-C14)/C8,0)</f>
        <v>0.69665327978580993</v>
      </c>
      <c r="D18" s="25">
        <f>IFERROR((D8-D14)/D8,0)</f>
        <v>0.99680000000000002</v>
      </c>
      <c r="E18" s="21" t="s">
        <v>333</v>
      </c>
    </row>
    <row r="20" spans="1:5" x14ac:dyDescent="0.25">
      <c r="A20" s="81" t="s">
        <v>334</v>
      </c>
      <c r="B20" s="67"/>
      <c r="C20" s="67"/>
      <c r="D20" s="67"/>
      <c r="E20" s="68"/>
    </row>
    <row r="21" spans="1:5" x14ac:dyDescent="0.25">
      <c r="A21" s="26" t="s">
        <v>335</v>
      </c>
      <c r="B21" s="58">
        <f>Inputs!$B$35</f>
        <v>15000</v>
      </c>
      <c r="C21" s="58">
        <f>Inputs!$B$36</f>
        <v>45000</v>
      </c>
      <c r="D21" s="58">
        <f>Inputs!$B$37</f>
        <v>1800000</v>
      </c>
      <c r="E21" s="26" t="s">
        <v>336</v>
      </c>
    </row>
    <row r="22" spans="1:5" x14ac:dyDescent="0.25">
      <c r="A22" s="21" t="s">
        <v>337</v>
      </c>
      <c r="B22" s="25">
        <f>Inputs!$B$11</f>
        <v>0.12</v>
      </c>
      <c r="C22" s="25">
        <f>Inputs!$B$12</f>
        <v>7.0000000000000007E-2</v>
      </c>
      <c r="D22" s="25">
        <f>Inputs!$B$13</f>
        <v>0.03</v>
      </c>
      <c r="E22" s="21" t="s">
        <v>338</v>
      </c>
    </row>
    <row r="23" spans="1:5" x14ac:dyDescent="0.25">
      <c r="A23" s="21" t="s">
        <v>339</v>
      </c>
      <c r="B23" s="27">
        <f>IFERROR(1/Inputs!$B$11,0)</f>
        <v>8.3333333333333339</v>
      </c>
      <c r="C23" s="27">
        <f>IFERROR(1/Inputs!$B$12,0)</f>
        <v>14.285714285714285</v>
      </c>
      <c r="D23" s="27">
        <f>IFERROR(1/Inputs!$B$13,0)</f>
        <v>33.333333333333336</v>
      </c>
      <c r="E23" s="21"/>
    </row>
    <row r="24" spans="1:5" x14ac:dyDescent="0.25">
      <c r="A24" s="21" t="s">
        <v>340</v>
      </c>
      <c r="B24" s="59">
        <f>B17*B23</f>
        <v>35875</v>
      </c>
      <c r="C24" s="59">
        <f>C17*C23</f>
        <v>743428.57142857136</v>
      </c>
      <c r="D24" s="59">
        <f>D17*D23</f>
        <v>23258666.666666668</v>
      </c>
      <c r="E24" s="21" t="s">
        <v>341</v>
      </c>
    </row>
    <row r="25" spans="1:5" x14ac:dyDescent="0.25">
      <c r="A25" s="21" t="s">
        <v>342</v>
      </c>
      <c r="B25" s="28">
        <f>IFERROR(B24/B21,0)</f>
        <v>2.3916666666666666</v>
      </c>
      <c r="C25" s="28">
        <f>IFERROR(C24/C21,0)</f>
        <v>16.520634920634919</v>
      </c>
      <c r="D25" s="28">
        <f>IFERROR(D24/D21,0)</f>
        <v>12.921481481481482</v>
      </c>
      <c r="E25" s="21" t="s">
        <v>343</v>
      </c>
    </row>
    <row r="26" spans="1:5" x14ac:dyDescent="0.25">
      <c r="A26" s="21" t="s">
        <v>344</v>
      </c>
      <c r="B26" s="27">
        <f>IFERROR(B21/B17,0)</f>
        <v>3.484320557491289</v>
      </c>
      <c r="C26" s="27">
        <f>IFERROR(C21/C17,0)</f>
        <v>0.86471944657955424</v>
      </c>
      <c r="D26" s="27">
        <f>IFERROR(D21/D17,0)</f>
        <v>2.579683558816785</v>
      </c>
      <c r="E26" s="21" t="s">
        <v>345</v>
      </c>
    </row>
    <row r="28" spans="1:5" x14ac:dyDescent="0.25">
      <c r="A28" s="83" t="s">
        <v>346</v>
      </c>
      <c r="B28" s="67"/>
      <c r="C28" s="67"/>
      <c r="D28" s="68"/>
      <c r="E28" s="23"/>
    </row>
    <row r="29" spans="1:5" x14ac:dyDescent="0.25">
      <c r="A29" s="21" t="s">
        <v>347</v>
      </c>
      <c r="B29" s="24" t="str">
        <f>IF(B17&gt;0,"SÍ","No")</f>
        <v>SÍ</v>
      </c>
      <c r="C29" s="24" t="str">
        <f>IF(C17&gt;0,"SÍ","No")</f>
        <v>SÍ</v>
      </c>
      <c r="D29" s="24" t="str">
        <f>IF(D17&gt;0,"SÍ","No")</f>
        <v>SÍ</v>
      </c>
    </row>
    <row r="30" spans="1:5" x14ac:dyDescent="0.25">
      <c r="A30" s="21" t="s">
        <v>348</v>
      </c>
      <c r="B30" s="24" t="str">
        <f>IF(B25&gt;=3,"SÍ","Revisar")</f>
        <v>Revisar</v>
      </c>
      <c r="C30" s="24" t="str">
        <f>IF(C25&gt;=3,"SÍ","Revisar")</f>
        <v>SÍ</v>
      </c>
      <c r="D30" s="24" t="str">
        <f>IF(D25&gt;=3,"SÍ","Revisar")</f>
        <v>SÍ</v>
      </c>
    </row>
    <row r="31" spans="1:5" x14ac:dyDescent="0.25">
      <c r="A31" s="21" t="s">
        <v>349</v>
      </c>
      <c r="B31" s="24" t="str">
        <f>IF(B26&lt;12,"SÍ","Revisar")</f>
        <v>SÍ</v>
      </c>
      <c r="C31" s="24" t="str">
        <f>IF(C26&lt;12,"SÍ","Revisar")</f>
        <v>SÍ</v>
      </c>
      <c r="D31" s="24" t="str">
        <f>IF(D26&lt;12,"SÍ","Revisar")</f>
        <v>SÍ</v>
      </c>
    </row>
    <row r="33" spans="1:1" x14ac:dyDescent="0.25">
      <c r="A33" s="30"/>
    </row>
  </sheetData>
  <mergeCells count="6">
    <mergeCell ref="A28:D28"/>
    <mergeCell ref="A4:E4"/>
    <mergeCell ref="A20:E20"/>
    <mergeCell ref="A16:E16"/>
    <mergeCell ref="A10:E10"/>
    <mergeCell ref="A1:E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42"/>
  <sheetViews>
    <sheetView topLeftCell="A10" workbookViewId="0">
      <selection activeCell="N36" sqref="N36"/>
    </sheetView>
  </sheetViews>
  <sheetFormatPr defaultRowHeight="15" x14ac:dyDescent="0.25"/>
  <cols>
    <col min="1" max="1" width="36.7109375" style="23" bestFit="1" customWidth="1"/>
    <col min="2" max="12" width="15.7109375" style="23" bestFit="1" customWidth="1"/>
    <col min="13" max="13" width="15.5703125" style="23" bestFit="1" customWidth="1"/>
    <col min="14" max="14" width="16.7109375" style="23" bestFit="1" customWidth="1"/>
    <col min="15" max="19" width="9.140625" style="23" customWidth="1"/>
    <col min="20" max="16384" width="9.140625" style="23"/>
  </cols>
  <sheetData>
    <row r="1" spans="1:14" x14ac:dyDescent="0.25">
      <c r="A1" s="85" t="s">
        <v>350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8"/>
    </row>
    <row r="3" spans="1:14" x14ac:dyDescent="0.25">
      <c r="A3" s="37" t="s">
        <v>351</v>
      </c>
      <c r="B3" s="37" t="s">
        <v>352</v>
      </c>
      <c r="C3" s="37" t="s">
        <v>353</v>
      </c>
      <c r="D3" s="37" t="s">
        <v>354</v>
      </c>
      <c r="E3" s="37" t="s">
        <v>355</v>
      </c>
      <c r="F3" s="37" t="s">
        <v>356</v>
      </c>
      <c r="G3" s="37" t="s">
        <v>357</v>
      </c>
      <c r="H3" s="37" t="s">
        <v>358</v>
      </c>
      <c r="I3" s="37" t="s">
        <v>359</v>
      </c>
      <c r="J3" s="37" t="s">
        <v>360</v>
      </c>
      <c r="K3" s="37" t="s">
        <v>361</v>
      </c>
      <c r="L3" s="37" t="s">
        <v>362</v>
      </c>
      <c r="M3" s="37" t="s">
        <v>363</v>
      </c>
      <c r="N3" s="37" t="s">
        <v>364</v>
      </c>
    </row>
    <row r="4" spans="1:14" x14ac:dyDescent="0.25">
      <c r="A4" s="84" t="s">
        <v>365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8"/>
    </row>
    <row r="5" spans="1:14" x14ac:dyDescent="0.25">
      <c r="A5" s="31" t="s">
        <v>366</v>
      </c>
      <c r="B5" s="45">
        <f>ROUND(Inputs!$B$7*(1+Inputs!$B$8)^0,0)</f>
        <v>100</v>
      </c>
      <c r="C5" s="45">
        <f>ROUND(Inputs!$B$7*(1+Inputs!$B$8)^1,0)</f>
        <v>105</v>
      </c>
      <c r="D5" s="45">
        <f>ROUND(Inputs!$B$7*(1+Inputs!$B$8)^2,0)</f>
        <v>110</v>
      </c>
      <c r="E5" s="45">
        <f>ROUND(Inputs!$B$7*(1+Inputs!$B$8)^3,0)</f>
        <v>116</v>
      </c>
      <c r="F5" s="45">
        <f>ROUND(Inputs!$B$7*(1+Inputs!$B$8)^4,0)</f>
        <v>122</v>
      </c>
      <c r="G5" s="45">
        <f>ROUND(Inputs!$B$7*(1+Inputs!$B$8)^5,0)</f>
        <v>128</v>
      </c>
      <c r="H5" s="45">
        <f>ROUND(Inputs!$B$7*(1+Inputs!$B$8)^6,0)</f>
        <v>134</v>
      </c>
      <c r="I5" s="45">
        <f>ROUND(Inputs!$B$7*(1+Inputs!$B$8)^7,0)</f>
        <v>141</v>
      </c>
      <c r="J5" s="45">
        <f>ROUND(Inputs!$B$7*(1+Inputs!$B$8)^8,0)</f>
        <v>148</v>
      </c>
      <c r="K5" s="45">
        <f>ROUND(Inputs!$B$7*(1+Inputs!$B$8)^9,0)</f>
        <v>155</v>
      </c>
      <c r="L5" s="45">
        <f>ROUND(Inputs!$B$7*(1+Inputs!$B$8)^10,0)</f>
        <v>163</v>
      </c>
      <c r="M5" s="45">
        <f>ROUND(Inputs!$B$7*(1+Inputs!$B$8)^11,0)</f>
        <v>171</v>
      </c>
      <c r="N5" s="45">
        <f t="shared" ref="N5:N10" si="0">SUM(B5:M5)</f>
        <v>1593</v>
      </c>
    </row>
    <row r="6" spans="1:14" x14ac:dyDescent="0.25">
      <c r="A6" s="31" t="s">
        <v>367</v>
      </c>
      <c r="B6" s="45">
        <f>ROUND((Inputs!$B$6*(1-Inputs!$B$9))+B5*(1-Inputs!$B$9),0)</f>
        <v>252</v>
      </c>
      <c r="C6" s="45">
        <f>ROUND(B6*(1-Inputs!$B$11-Inputs!$B$10)+C5*(1-Inputs!$B$9),0)</f>
        <v>311</v>
      </c>
      <c r="D6" s="45">
        <f>ROUND(C6*(1-Inputs!$B$11-Inputs!$B$10)+D5*(1-Inputs!$B$9),0)</f>
        <v>366</v>
      </c>
      <c r="E6" s="45">
        <f>ROUND(D6*(1-Inputs!$B$11-Inputs!$B$10)+E5*(1-Inputs!$B$9),0)</f>
        <v>419</v>
      </c>
      <c r="F6" s="45">
        <f>ROUND(E6*(1-Inputs!$B$11-Inputs!$B$10)+F5*(1-Inputs!$B$9),0)</f>
        <v>470</v>
      </c>
      <c r="G6" s="45">
        <f>ROUND(F6*(1-Inputs!$B$11-Inputs!$B$10)+G5*(1-Inputs!$B$9),0)</f>
        <v>519</v>
      </c>
      <c r="H6" s="45">
        <f>ROUND(G6*(1-Inputs!$B$11-Inputs!$B$10)+H5*(1-Inputs!$B$9),0)</f>
        <v>567</v>
      </c>
      <c r="I6" s="45">
        <f>ROUND(H6*(1-Inputs!$B$11-Inputs!$B$10)+I5*(1-Inputs!$B$9),0)</f>
        <v>615</v>
      </c>
      <c r="J6" s="45">
        <f>ROUND(I6*(1-Inputs!$B$11-Inputs!$B$10)+J5*(1-Inputs!$B$9),0)</f>
        <v>662</v>
      </c>
      <c r="K6" s="45">
        <f>ROUND(J6*(1-Inputs!$B$11-Inputs!$B$10)+K5*(1-Inputs!$B$9),0)</f>
        <v>709</v>
      </c>
      <c r="L6" s="45">
        <f>ROUND(K6*(1-Inputs!$B$11-Inputs!$B$10)+L5*(1-Inputs!$B$9),0)</f>
        <v>756</v>
      </c>
      <c r="M6" s="45">
        <f>ROUND(L6*(1-Inputs!$B$11-Inputs!$B$10)+M5*(1-Inputs!$B$9),0)</f>
        <v>804</v>
      </c>
      <c r="N6" s="45">
        <f t="shared" si="0"/>
        <v>6450</v>
      </c>
    </row>
    <row r="7" spans="1:14" x14ac:dyDescent="0.25">
      <c r="A7" s="31" t="s">
        <v>368</v>
      </c>
      <c r="B7" s="45">
        <f>ROUND((Inputs!$B$6*Inputs!$B$9)+B5*Inputs!$B$9,0)</f>
        <v>28</v>
      </c>
      <c r="C7" s="45">
        <f>ROUND(B7*(1-Inputs!$B$12)+B6*Inputs!$B$10+C5*Inputs!$B$9,0)</f>
        <v>42</v>
      </c>
      <c r="D7" s="45">
        <f>ROUND(C7*(1-Inputs!$B$12)+C6*Inputs!$B$10+D5*Inputs!$B$9,0)</f>
        <v>56</v>
      </c>
      <c r="E7" s="45">
        <f>ROUND(D7*(1-Inputs!$B$12)+D6*Inputs!$B$10+E5*Inputs!$B$9,0)</f>
        <v>71</v>
      </c>
      <c r="F7" s="45">
        <f>ROUND(E7*(1-Inputs!$B$12)+E6*Inputs!$B$10+F5*Inputs!$B$9,0)</f>
        <v>87</v>
      </c>
      <c r="G7" s="45">
        <f>ROUND(F7*(1-Inputs!$B$12)+F6*Inputs!$B$10+G5*Inputs!$B$9,0)</f>
        <v>103</v>
      </c>
      <c r="H7" s="45">
        <f>ROUND(G7*(1-Inputs!$B$12)+G6*Inputs!$B$10+H5*Inputs!$B$9,0)</f>
        <v>120</v>
      </c>
      <c r="I7" s="45">
        <f>ROUND(H7*(1-Inputs!$B$12)+H6*Inputs!$B$10+I5*Inputs!$B$9,0)</f>
        <v>137</v>
      </c>
      <c r="J7" s="45">
        <f>ROUND(I7*(1-Inputs!$B$12)+I6*Inputs!$B$10+J5*Inputs!$B$9,0)</f>
        <v>155</v>
      </c>
      <c r="K7" s="45">
        <f>ROUND(J7*(1-Inputs!$B$12)+J6*Inputs!$B$10+K5*Inputs!$B$9,0)</f>
        <v>173</v>
      </c>
      <c r="L7" s="45">
        <f>ROUND(K7*(1-Inputs!$B$12)+K6*Inputs!$B$10+L5*Inputs!$B$9,0)</f>
        <v>191</v>
      </c>
      <c r="M7" s="45">
        <f>ROUND(L7*(1-Inputs!$B$12)+L6*Inputs!$B$10+M5*Inputs!$B$9,0)</f>
        <v>210</v>
      </c>
      <c r="N7" s="45">
        <f t="shared" si="0"/>
        <v>1373</v>
      </c>
    </row>
    <row r="8" spans="1:14" x14ac:dyDescent="0.25">
      <c r="A8" s="31" t="s">
        <v>369</v>
      </c>
      <c r="B8" s="45">
        <f>IF(1&gt;=Inputs!$B$30,Inputs!$B$31,0)</f>
        <v>0</v>
      </c>
      <c r="C8" s="45">
        <f>IF(2&gt;=Inputs!$B$30,ROUND(B8*(1-Inputs!$B$13)+IF(2=Inputs!$B$30,Inputs!$B$31,Inputs!$B$32),0),0)</f>
        <v>0</v>
      </c>
      <c r="D8" s="45">
        <f>IF(3&gt;=Inputs!$B$30,ROUND(C8*(1-Inputs!$B$13)+IF(3=Inputs!$B$30,Inputs!$B$31,Inputs!$B$32),0),0)</f>
        <v>2</v>
      </c>
      <c r="E8" s="45">
        <f>IF(4&gt;=Inputs!$B$30,ROUND(D8*(1-Inputs!$B$13)+IF(4=Inputs!$B$30,Inputs!$B$31,Inputs!$B$32),0),0)</f>
        <v>3</v>
      </c>
      <c r="F8" s="45">
        <f>IF(5&gt;=Inputs!$B$30,ROUND(E8*(1-Inputs!$B$13)+IF(5=Inputs!$B$30,Inputs!$B$31,Inputs!$B$32),0),0)</f>
        <v>4</v>
      </c>
      <c r="G8" s="45">
        <f>IF(6&gt;=Inputs!$B$30,ROUND(F8*(1-Inputs!$B$13)+IF(6=Inputs!$B$30,Inputs!$B$31,Inputs!$B$32),0),0)</f>
        <v>5</v>
      </c>
      <c r="H8" s="45">
        <f>IF(7&gt;=Inputs!$B$30,ROUND(G8*(1-Inputs!$B$13)+IF(7=Inputs!$B$30,Inputs!$B$31,Inputs!$B$32),0),0)</f>
        <v>6</v>
      </c>
      <c r="I8" s="45">
        <f>IF(8&gt;=Inputs!$B$30,ROUND(H8*(1-Inputs!$B$13)+IF(8=Inputs!$B$30,Inputs!$B$31,Inputs!$B$32),0),0)</f>
        <v>7</v>
      </c>
      <c r="J8" s="45">
        <f>IF(9&gt;=Inputs!$B$30,ROUND(I8*(1-Inputs!$B$13)+IF(9=Inputs!$B$30,Inputs!$B$31,Inputs!$B$32),0),0)</f>
        <v>8</v>
      </c>
      <c r="K8" s="45">
        <f>IF(10&gt;=Inputs!$B$30,ROUND(J8*(1-Inputs!$B$13)+IF(10=Inputs!$B$30,Inputs!$B$31,Inputs!$B$32),0),0)</f>
        <v>9</v>
      </c>
      <c r="L8" s="45">
        <f>IF(11&gt;=Inputs!$B$30,ROUND(K8*(1-Inputs!$B$13)+IF(11=Inputs!$B$30,Inputs!$B$31,Inputs!$B$32),0),0)</f>
        <v>10</v>
      </c>
      <c r="M8" s="45">
        <f>IF(12&gt;=Inputs!$B$30,ROUND(L8*(1-Inputs!$B$13)+IF(12=Inputs!$B$30,Inputs!$B$31,Inputs!$B$32),0),0)</f>
        <v>11</v>
      </c>
      <c r="N8" s="45">
        <f t="shared" si="0"/>
        <v>65</v>
      </c>
    </row>
    <row r="9" spans="1:14" x14ac:dyDescent="0.25">
      <c r="A9" s="31" t="s">
        <v>370</v>
      </c>
      <c r="B9" s="45">
        <f>IF(1&gt;=Inputs!$B$30,Inputs!$B$31,0)</f>
        <v>0</v>
      </c>
      <c r="C9" s="45">
        <f>IF(2=Inputs!$B$30,Inputs!$B$31,IF(2&gt;Inputs!$B$30,Inputs!$B$32,0))</f>
        <v>0</v>
      </c>
      <c r="D9" s="45">
        <f>IF(3=Inputs!$B$30,Inputs!$B$31,IF(3&gt;Inputs!$B$30,Inputs!$B$32,0))</f>
        <v>2</v>
      </c>
      <c r="E9" s="45">
        <f>IF(4=Inputs!$B$30,Inputs!$B$31,IF(4&gt;Inputs!$B$30,Inputs!$B$32,0))</f>
        <v>1</v>
      </c>
      <c r="F9" s="45">
        <f>IF(5=Inputs!$B$30,Inputs!$B$31,IF(5&gt;Inputs!$B$30,Inputs!$B$32,0))</f>
        <v>1</v>
      </c>
      <c r="G9" s="45">
        <f>IF(6=Inputs!$B$30,Inputs!$B$31,IF(6&gt;Inputs!$B$30,Inputs!$B$32,0))</f>
        <v>1</v>
      </c>
      <c r="H9" s="45">
        <f>IF(7=Inputs!$B$30,Inputs!$B$31,IF(7&gt;Inputs!$B$30,Inputs!$B$32,0))</f>
        <v>1</v>
      </c>
      <c r="I9" s="45">
        <f>IF(8=Inputs!$B$30,Inputs!$B$31,IF(8&gt;Inputs!$B$30,Inputs!$B$32,0))</f>
        <v>1</v>
      </c>
      <c r="J9" s="45">
        <f>IF(9=Inputs!$B$30,Inputs!$B$31,IF(9&gt;Inputs!$B$30,Inputs!$B$32,0))</f>
        <v>1</v>
      </c>
      <c r="K9" s="45">
        <f>IF(10=Inputs!$B$30,Inputs!$B$31,IF(10&gt;Inputs!$B$30,Inputs!$B$32,0))</f>
        <v>1</v>
      </c>
      <c r="L9" s="45">
        <f>IF(11=Inputs!$B$30,Inputs!$B$31,IF(11&gt;Inputs!$B$30,Inputs!$B$32,0))</f>
        <v>1</v>
      </c>
      <c r="M9" s="45">
        <f>IF(12=Inputs!$B$30,Inputs!$B$31,IF(12&gt;Inputs!$B$30,Inputs!$B$32,0))</f>
        <v>1</v>
      </c>
      <c r="N9" s="45">
        <f t="shared" si="0"/>
        <v>11</v>
      </c>
    </row>
    <row r="10" spans="1:14" x14ac:dyDescent="0.25">
      <c r="A10" s="42" t="s">
        <v>371</v>
      </c>
      <c r="B10" s="45">
        <f t="shared" ref="B10:M10" si="1">B6+B7</f>
        <v>280</v>
      </c>
      <c r="C10" s="45">
        <f t="shared" si="1"/>
        <v>353</v>
      </c>
      <c r="D10" s="45">
        <f t="shared" si="1"/>
        <v>422</v>
      </c>
      <c r="E10" s="45">
        <f t="shared" si="1"/>
        <v>490</v>
      </c>
      <c r="F10" s="45">
        <f t="shared" si="1"/>
        <v>557</v>
      </c>
      <c r="G10" s="45">
        <f t="shared" si="1"/>
        <v>622</v>
      </c>
      <c r="H10" s="45">
        <f t="shared" si="1"/>
        <v>687</v>
      </c>
      <c r="I10" s="45">
        <f t="shared" si="1"/>
        <v>752</v>
      </c>
      <c r="J10" s="45">
        <f t="shared" si="1"/>
        <v>817</v>
      </c>
      <c r="K10" s="45">
        <f t="shared" si="1"/>
        <v>882</v>
      </c>
      <c r="L10" s="45">
        <f t="shared" si="1"/>
        <v>947</v>
      </c>
      <c r="M10" s="45">
        <f t="shared" si="1"/>
        <v>1014</v>
      </c>
      <c r="N10" s="45">
        <f t="shared" si="0"/>
        <v>7823</v>
      </c>
    </row>
    <row r="12" spans="1:14" x14ac:dyDescent="0.25">
      <c r="A12" s="83" t="s">
        <v>372</v>
      </c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8"/>
    </row>
    <row r="13" spans="1:14" x14ac:dyDescent="0.25">
      <c r="A13" s="31" t="s">
        <v>373</v>
      </c>
      <c r="B13" s="60">
        <f>B6*Inputs!$B$14*Inputs!$B$26*Inputs!$B$27</f>
        <v>2633400</v>
      </c>
      <c r="C13" s="60">
        <f>C6*Inputs!$B$14*Inputs!$B$26*Inputs!$B$27</f>
        <v>3249950</v>
      </c>
      <c r="D13" s="60">
        <f>D6*Inputs!$B$14*Inputs!$B$26*Inputs!$B$27</f>
        <v>3824700</v>
      </c>
      <c r="E13" s="60">
        <f>E6*Inputs!$B$14*Inputs!$B$26*Inputs!$B$27</f>
        <v>4378550</v>
      </c>
      <c r="F13" s="60">
        <f>F6*Inputs!$B$14*Inputs!$B$26*Inputs!$B$27</f>
        <v>4911500</v>
      </c>
      <c r="G13" s="60">
        <f>G6*Inputs!$B$14*Inputs!$B$26*Inputs!$B$27</f>
        <v>5423550</v>
      </c>
      <c r="H13" s="60">
        <f>H6*Inputs!$B$14*Inputs!$B$26*Inputs!$B$27</f>
        <v>5925150</v>
      </c>
      <c r="I13" s="60">
        <f>I6*Inputs!$B$14*Inputs!$B$26*Inputs!$B$27</f>
        <v>6426750</v>
      </c>
      <c r="J13" s="60">
        <f>J6*Inputs!$B$14*Inputs!$B$26*Inputs!$B$27</f>
        <v>6917900</v>
      </c>
      <c r="K13" s="60">
        <f>K6*Inputs!$B$14*Inputs!$B$26*Inputs!$B$27</f>
        <v>7409050</v>
      </c>
      <c r="L13" s="60">
        <f>L6*Inputs!$B$14*Inputs!$B$26*Inputs!$B$27</f>
        <v>7900200</v>
      </c>
      <c r="M13" s="60">
        <f>M6*Inputs!$B$14*Inputs!$B$26*Inputs!$B$27</f>
        <v>8401800</v>
      </c>
      <c r="N13" s="60">
        <f>SUM(B13:M13)</f>
        <v>67402500</v>
      </c>
    </row>
    <row r="14" spans="1:14" x14ac:dyDescent="0.25">
      <c r="A14" s="31" t="s">
        <v>374</v>
      </c>
      <c r="B14" s="60">
        <f>B7*Inputs!$B$15*Inputs!$B$26*Inputs!$B$27</f>
        <v>1170400</v>
      </c>
      <c r="C14" s="60">
        <f>C7*Inputs!$B$15*Inputs!$B$26*Inputs!$B$27</f>
        <v>1755600</v>
      </c>
      <c r="D14" s="60">
        <f>D7*Inputs!$B$15*Inputs!$B$26*Inputs!$B$27</f>
        <v>2340800</v>
      </c>
      <c r="E14" s="60">
        <f>E7*Inputs!$B$15*Inputs!$B$26*Inputs!$B$27</f>
        <v>2967800</v>
      </c>
      <c r="F14" s="60">
        <f>F7*Inputs!$B$15*Inputs!$B$26*Inputs!$B$27</f>
        <v>3636600</v>
      </c>
      <c r="G14" s="60">
        <f>G7*Inputs!$B$15*Inputs!$B$26*Inputs!$B$27</f>
        <v>4305400</v>
      </c>
      <c r="H14" s="60">
        <f>H7*Inputs!$B$15*Inputs!$B$26*Inputs!$B$27</f>
        <v>5016000</v>
      </c>
      <c r="I14" s="60">
        <f>I7*Inputs!$B$15*Inputs!$B$26*Inputs!$B$27</f>
        <v>5726600</v>
      </c>
      <c r="J14" s="60">
        <f>J7*Inputs!$B$15*Inputs!$B$26*Inputs!$B$27</f>
        <v>6479000</v>
      </c>
      <c r="K14" s="60">
        <f>K7*Inputs!$B$15*Inputs!$B$26*Inputs!$B$27</f>
        <v>7231400</v>
      </c>
      <c r="L14" s="60">
        <f>L7*Inputs!$B$15*Inputs!$B$26*Inputs!$B$27</f>
        <v>7983800</v>
      </c>
      <c r="M14" s="60">
        <f>M7*Inputs!$B$15*Inputs!$B$26*Inputs!$B$27</f>
        <v>8778000</v>
      </c>
      <c r="N14" s="60">
        <f>SUM(B14:M14)</f>
        <v>57391400</v>
      </c>
    </row>
    <row r="15" spans="1:14" x14ac:dyDescent="0.25">
      <c r="A15" s="31" t="s">
        <v>375</v>
      </c>
      <c r="B15" s="60">
        <f>B7*Inputs!$B$25</f>
        <v>921200</v>
      </c>
      <c r="C15" s="60">
        <f>C7*Inputs!$B$25</f>
        <v>1381800</v>
      </c>
      <c r="D15" s="60">
        <f>D7*Inputs!$B$25</f>
        <v>1842400</v>
      </c>
      <c r="E15" s="60">
        <f>E7*Inputs!$B$25</f>
        <v>2335900</v>
      </c>
      <c r="F15" s="60">
        <f>F7*Inputs!$B$25</f>
        <v>2862300</v>
      </c>
      <c r="G15" s="60">
        <f>G7*Inputs!$B$25</f>
        <v>3388700</v>
      </c>
      <c r="H15" s="60">
        <f>H7*Inputs!$B$25</f>
        <v>3948000</v>
      </c>
      <c r="I15" s="60">
        <f>I7*Inputs!$B$25</f>
        <v>4507300</v>
      </c>
      <c r="J15" s="60">
        <f>J7*Inputs!$B$25</f>
        <v>5099500</v>
      </c>
      <c r="K15" s="60">
        <f>K7*Inputs!$B$25</f>
        <v>5691700</v>
      </c>
      <c r="L15" s="60">
        <f>L7*Inputs!$B$25</f>
        <v>6283900</v>
      </c>
      <c r="M15" s="60">
        <f>M7*Inputs!$B$25</f>
        <v>6909000</v>
      </c>
      <c r="N15" s="60">
        <f>SUM(B15:M15)</f>
        <v>45171700</v>
      </c>
    </row>
    <row r="16" spans="1:14" x14ac:dyDescent="0.25">
      <c r="A16" s="31" t="s">
        <v>376</v>
      </c>
      <c r="B16" s="60">
        <f>B8*Inputs!$B$29</f>
        <v>0</v>
      </c>
      <c r="C16" s="60">
        <f>C8*Inputs!$B$29</f>
        <v>0</v>
      </c>
      <c r="D16" s="60">
        <f>D8*Inputs!$B$29</f>
        <v>1400000</v>
      </c>
      <c r="E16" s="60">
        <f>E8*Inputs!$B$29</f>
        <v>2100000</v>
      </c>
      <c r="F16" s="60">
        <f>F8*Inputs!$B$29</f>
        <v>2800000</v>
      </c>
      <c r="G16" s="60">
        <f>G8*Inputs!$B$29</f>
        <v>3500000</v>
      </c>
      <c r="H16" s="60">
        <f>H8*Inputs!$B$29</f>
        <v>4200000</v>
      </c>
      <c r="I16" s="60">
        <f>I8*Inputs!$B$29</f>
        <v>4900000</v>
      </c>
      <c r="J16" s="60">
        <f>J8*Inputs!$B$29</f>
        <v>5600000</v>
      </c>
      <c r="K16" s="60">
        <f>K8*Inputs!$B$29</f>
        <v>6300000</v>
      </c>
      <c r="L16" s="60">
        <f>L8*Inputs!$B$29</f>
        <v>7000000</v>
      </c>
      <c r="M16" s="60">
        <f>M8*Inputs!$B$29</f>
        <v>7700000</v>
      </c>
      <c r="N16" s="60">
        <f>SUM(B16:M16)</f>
        <v>45500000</v>
      </c>
    </row>
    <row r="17" spans="1:14" x14ac:dyDescent="0.25">
      <c r="A17" s="42" t="s">
        <v>377</v>
      </c>
      <c r="B17" s="60">
        <f t="shared" ref="B17:M17" si="2">SUM(B13:B16)</f>
        <v>4725000</v>
      </c>
      <c r="C17" s="60">
        <f t="shared" si="2"/>
        <v>6387350</v>
      </c>
      <c r="D17" s="60">
        <f t="shared" si="2"/>
        <v>9407900</v>
      </c>
      <c r="E17" s="60">
        <f t="shared" si="2"/>
        <v>11782250</v>
      </c>
      <c r="F17" s="60">
        <f t="shared" si="2"/>
        <v>14210400</v>
      </c>
      <c r="G17" s="60">
        <f t="shared" si="2"/>
        <v>16617650</v>
      </c>
      <c r="H17" s="60">
        <f t="shared" si="2"/>
        <v>19089150</v>
      </c>
      <c r="I17" s="60">
        <f t="shared" si="2"/>
        <v>21560650</v>
      </c>
      <c r="J17" s="60">
        <f t="shared" si="2"/>
        <v>24096400</v>
      </c>
      <c r="K17" s="60">
        <f t="shared" si="2"/>
        <v>26632150</v>
      </c>
      <c r="L17" s="60">
        <f t="shared" si="2"/>
        <v>29167900</v>
      </c>
      <c r="M17" s="60">
        <f t="shared" si="2"/>
        <v>31788800</v>
      </c>
      <c r="N17" s="60">
        <f>SUM(B17:M17)</f>
        <v>215465600</v>
      </c>
    </row>
    <row r="19" spans="1:14" x14ac:dyDescent="0.25">
      <c r="A19" s="83" t="s">
        <v>378</v>
      </c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8"/>
    </row>
    <row r="20" spans="1:14" x14ac:dyDescent="0.25">
      <c r="A20" s="31" t="s">
        <v>379</v>
      </c>
      <c r="B20" s="60">
        <f>(B6*Inputs!$B$14+B7*Inputs!$B$15)*Inputs!$B$28</f>
        <v>1960140</v>
      </c>
      <c r="C20" s="60">
        <f>(C6*Inputs!$B$14+C7*Inputs!$B$15)*Inputs!$B$28</f>
        <v>2579415</v>
      </c>
      <c r="D20" s="60">
        <f>(D6*Inputs!$B$14+D7*Inputs!$B$15)*Inputs!$B$28</f>
        <v>3177150</v>
      </c>
      <c r="E20" s="60">
        <f>(E6*Inputs!$B$14+E7*Inputs!$B$15)*Inputs!$B$28</f>
        <v>3785655</v>
      </c>
      <c r="F20" s="60">
        <f>(F6*Inputs!$B$14+F7*Inputs!$B$15)*Inputs!$B$28</f>
        <v>4404930</v>
      </c>
      <c r="G20" s="60">
        <f>(G6*Inputs!$B$14+G7*Inputs!$B$15)*Inputs!$B$28</f>
        <v>5013435</v>
      </c>
      <c r="H20" s="60">
        <f>(H6*Inputs!$B$14+H7*Inputs!$B$15)*Inputs!$B$28</f>
        <v>5638095</v>
      </c>
      <c r="I20" s="60">
        <f>(I6*Inputs!$B$14+I7*Inputs!$B$15)*Inputs!$B$28</f>
        <v>6262755</v>
      </c>
      <c r="J20" s="60">
        <f>(J6*Inputs!$B$14+J7*Inputs!$B$15)*Inputs!$B$28</f>
        <v>6903570</v>
      </c>
      <c r="K20" s="60">
        <f>(K6*Inputs!$B$14+K7*Inputs!$B$15)*Inputs!$B$28</f>
        <v>7544385</v>
      </c>
      <c r="L20" s="60">
        <f>(L6*Inputs!$B$14+L7*Inputs!$B$15)*Inputs!$B$28</f>
        <v>8185200</v>
      </c>
      <c r="M20" s="60">
        <f>(M6*Inputs!$B$14+M7*Inputs!$B$15)*Inputs!$B$28</f>
        <v>8852940</v>
      </c>
      <c r="N20" s="60">
        <f>SUM(B20:M20)</f>
        <v>64307670</v>
      </c>
    </row>
    <row r="21" spans="1:14" x14ac:dyDescent="0.25">
      <c r="A21" s="31" t="s">
        <v>380</v>
      </c>
      <c r="B21" s="60">
        <f>(B6*Inputs!$B$18+B7*Inputs!$B$19)*Inputs!$B$20</f>
        <v>21280</v>
      </c>
      <c r="C21" s="60">
        <f>(C6*Inputs!$B$18+C7*Inputs!$B$19)*Inputs!$B$20</f>
        <v>29240</v>
      </c>
      <c r="D21" s="60">
        <f>(D6*Inputs!$B$18+D7*Inputs!$B$19)*Inputs!$B$20</f>
        <v>37040</v>
      </c>
      <c r="E21" s="60">
        <f>(E6*Inputs!$B$18+E7*Inputs!$B$19)*Inputs!$B$20</f>
        <v>45160</v>
      </c>
      <c r="F21" s="60">
        <f>(F6*Inputs!$B$18+F7*Inputs!$B$19)*Inputs!$B$20</f>
        <v>53600</v>
      </c>
      <c r="G21" s="60">
        <f>(G6*Inputs!$B$18+G7*Inputs!$B$19)*Inputs!$B$20</f>
        <v>61960</v>
      </c>
      <c r="H21" s="60">
        <f>(H6*Inputs!$B$18+H7*Inputs!$B$19)*Inputs!$B$20</f>
        <v>70680</v>
      </c>
      <c r="I21" s="60">
        <f>(I6*Inputs!$B$18+I7*Inputs!$B$19)*Inputs!$B$20</f>
        <v>79400</v>
      </c>
      <c r="J21" s="60">
        <f>(J6*Inputs!$B$18+J7*Inputs!$B$19)*Inputs!$B$20</f>
        <v>88480</v>
      </c>
      <c r="K21" s="60">
        <f>(K6*Inputs!$B$18+K7*Inputs!$B$19)*Inputs!$B$20</f>
        <v>97560</v>
      </c>
      <c r="L21" s="60">
        <f>(L6*Inputs!$B$18+L7*Inputs!$B$19)*Inputs!$B$20</f>
        <v>106640</v>
      </c>
      <c r="M21" s="60">
        <f>(M6*Inputs!$B$18+M7*Inputs!$B$19)*Inputs!$B$20</f>
        <v>116160</v>
      </c>
      <c r="N21" s="60">
        <f>SUM(B21:M21)</f>
        <v>807200</v>
      </c>
    </row>
    <row r="22" spans="1:14" x14ac:dyDescent="0.25">
      <c r="A22" s="31" t="s">
        <v>381</v>
      </c>
      <c r="B22" s="60">
        <f>B10*Inputs!$B$44</f>
        <v>201600</v>
      </c>
      <c r="C22" s="60">
        <f>C10*Inputs!$B$44</f>
        <v>254160</v>
      </c>
      <c r="D22" s="60">
        <f>D10*Inputs!$B$44</f>
        <v>303840</v>
      </c>
      <c r="E22" s="60">
        <f>E10*Inputs!$B$44</f>
        <v>352800</v>
      </c>
      <c r="F22" s="60">
        <f>F10*Inputs!$B$44</f>
        <v>401040</v>
      </c>
      <c r="G22" s="60">
        <f>G10*Inputs!$B$44</f>
        <v>447840</v>
      </c>
      <c r="H22" s="60">
        <f>H10*Inputs!$B$44</f>
        <v>494640</v>
      </c>
      <c r="I22" s="60">
        <f>I10*Inputs!$B$44</f>
        <v>541440</v>
      </c>
      <c r="J22" s="60">
        <f>J10*Inputs!$B$44</f>
        <v>588240</v>
      </c>
      <c r="K22" s="60">
        <f>K10*Inputs!$B$44</f>
        <v>635040</v>
      </c>
      <c r="L22" s="60">
        <f>L10*Inputs!$B$44</f>
        <v>681840</v>
      </c>
      <c r="M22" s="60">
        <f>M10*Inputs!$B$44</f>
        <v>730080</v>
      </c>
      <c r="N22" s="60">
        <f>SUM(B22:M22)</f>
        <v>5632560</v>
      </c>
    </row>
    <row r="23" spans="1:14" x14ac:dyDescent="0.25">
      <c r="A23" s="42" t="s">
        <v>382</v>
      </c>
      <c r="B23" s="60">
        <f t="shared" ref="B23:M23" si="3">SUM(B20:B22)</f>
        <v>2183020</v>
      </c>
      <c r="C23" s="60">
        <f t="shared" si="3"/>
        <v>2862815</v>
      </c>
      <c r="D23" s="60">
        <f t="shared" si="3"/>
        <v>3518030</v>
      </c>
      <c r="E23" s="60">
        <f t="shared" si="3"/>
        <v>4183615</v>
      </c>
      <c r="F23" s="60">
        <f t="shared" si="3"/>
        <v>4859570</v>
      </c>
      <c r="G23" s="60">
        <f t="shared" si="3"/>
        <v>5523235</v>
      </c>
      <c r="H23" s="60">
        <f t="shared" si="3"/>
        <v>6203415</v>
      </c>
      <c r="I23" s="60">
        <f t="shared" si="3"/>
        <v>6883595</v>
      </c>
      <c r="J23" s="60">
        <f t="shared" si="3"/>
        <v>7580290</v>
      </c>
      <c r="K23" s="60">
        <f t="shared" si="3"/>
        <v>8276985</v>
      </c>
      <c r="L23" s="60">
        <f t="shared" si="3"/>
        <v>8973680</v>
      </c>
      <c r="M23" s="60">
        <f t="shared" si="3"/>
        <v>9699180</v>
      </c>
      <c r="N23" s="60">
        <f>SUM(B23:M23)</f>
        <v>70747430</v>
      </c>
    </row>
    <row r="24" spans="1:14" x14ac:dyDescent="0.25">
      <c r="A24" s="83" t="s">
        <v>383</v>
      </c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8"/>
    </row>
    <row r="25" spans="1:14" x14ac:dyDescent="0.25">
      <c r="A25" s="42" t="s">
        <v>383</v>
      </c>
      <c r="B25" s="60">
        <f t="shared" ref="B25:M25" si="4">B17-B23</f>
        <v>2541980</v>
      </c>
      <c r="C25" s="60">
        <f t="shared" si="4"/>
        <v>3524535</v>
      </c>
      <c r="D25" s="60">
        <f t="shared" si="4"/>
        <v>5889870</v>
      </c>
      <c r="E25" s="60">
        <f t="shared" si="4"/>
        <v>7598635</v>
      </c>
      <c r="F25" s="60">
        <f t="shared" si="4"/>
        <v>9350830</v>
      </c>
      <c r="G25" s="60">
        <f t="shared" si="4"/>
        <v>11094415</v>
      </c>
      <c r="H25" s="60">
        <f t="shared" si="4"/>
        <v>12885735</v>
      </c>
      <c r="I25" s="60">
        <f t="shared" si="4"/>
        <v>14677055</v>
      </c>
      <c r="J25" s="60">
        <f t="shared" si="4"/>
        <v>16516110</v>
      </c>
      <c r="K25" s="60">
        <f t="shared" si="4"/>
        <v>18355165</v>
      </c>
      <c r="L25" s="60">
        <f t="shared" si="4"/>
        <v>20194220</v>
      </c>
      <c r="M25" s="60">
        <f t="shared" si="4"/>
        <v>22089620</v>
      </c>
      <c r="N25" s="60">
        <f>SUM(B25:M25)</f>
        <v>144718170</v>
      </c>
    </row>
    <row r="26" spans="1:14" x14ac:dyDescent="0.25">
      <c r="A26" s="31" t="s">
        <v>384</v>
      </c>
      <c r="B26" s="46">
        <f t="shared" ref="B26:N26" si="5">IFERROR(B25/B17,0)</f>
        <v>0.53798518518518523</v>
      </c>
      <c r="C26" s="46">
        <f t="shared" si="5"/>
        <v>0.5517992594738037</v>
      </c>
      <c r="D26" s="46">
        <f t="shared" si="5"/>
        <v>0.6260557616471264</v>
      </c>
      <c r="E26" s="46">
        <f t="shared" si="5"/>
        <v>0.64492223471747756</v>
      </c>
      <c r="F26" s="46">
        <f t="shared" si="5"/>
        <v>0.65802721950121035</v>
      </c>
      <c r="G26" s="46">
        <f t="shared" si="5"/>
        <v>0.66762839511001859</v>
      </c>
      <c r="H26" s="46">
        <f t="shared" si="5"/>
        <v>0.67502927055421535</v>
      </c>
      <c r="I26" s="46">
        <f t="shared" si="5"/>
        <v>0.68073341944700183</v>
      </c>
      <c r="J26" s="46">
        <f t="shared" si="5"/>
        <v>0.68541815374910775</v>
      </c>
      <c r="K26" s="46">
        <f t="shared" si="5"/>
        <v>0.68921078470945829</v>
      </c>
      <c r="L26" s="46">
        <f t="shared" si="5"/>
        <v>0.69234398088309412</v>
      </c>
      <c r="M26" s="46">
        <f t="shared" si="5"/>
        <v>0.69488687839742302</v>
      </c>
      <c r="N26" s="46">
        <f t="shared" si="5"/>
        <v>0.67165324766459245</v>
      </c>
    </row>
    <row r="28" spans="1:14" x14ac:dyDescent="0.25">
      <c r="A28" s="83" t="s">
        <v>385</v>
      </c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8"/>
    </row>
    <row r="29" spans="1:14" x14ac:dyDescent="0.25">
      <c r="A29" s="31" t="s">
        <v>386</v>
      </c>
      <c r="B29" s="60">
        <f>Inputs!$B$40</f>
        <v>22675000</v>
      </c>
      <c r="C29" s="60">
        <f>Inputs!$B$40</f>
        <v>22675000</v>
      </c>
      <c r="D29" s="60">
        <f>Inputs!$B$40</f>
        <v>22675000</v>
      </c>
      <c r="E29" s="60">
        <f>Inputs!$B$40</f>
        <v>22675000</v>
      </c>
      <c r="F29" s="60">
        <f>Inputs!$B$40</f>
        <v>22675000</v>
      </c>
      <c r="G29" s="60">
        <f>Inputs!$B$40</f>
        <v>22675000</v>
      </c>
      <c r="H29" s="60">
        <f>Inputs!$B$40</f>
        <v>22675000</v>
      </c>
      <c r="I29" s="60">
        <f>Inputs!$B$40</f>
        <v>22675000</v>
      </c>
      <c r="J29" s="60">
        <f>Inputs!$B$40</f>
        <v>22675000</v>
      </c>
      <c r="K29" s="60">
        <f>Inputs!$B$40</f>
        <v>22675000</v>
      </c>
      <c r="L29" s="60">
        <f>Inputs!$B$40</f>
        <v>22675000</v>
      </c>
      <c r="M29" s="60">
        <f>Inputs!$B$40</f>
        <v>22675000</v>
      </c>
      <c r="N29" s="60">
        <f>SUM(B29:M29)</f>
        <v>272100000</v>
      </c>
    </row>
    <row r="30" spans="1:14" x14ac:dyDescent="0.25">
      <c r="A30" s="31" t="s">
        <v>387</v>
      </c>
      <c r="B30" s="60">
        <f>Inputs!$B$41</f>
        <v>2602542</v>
      </c>
      <c r="C30" s="60">
        <f>Inputs!$B$41</f>
        <v>2602542</v>
      </c>
      <c r="D30" s="60">
        <f>Inputs!$B$41</f>
        <v>2602542</v>
      </c>
      <c r="E30" s="60">
        <f>Inputs!$B$41</f>
        <v>2602542</v>
      </c>
      <c r="F30" s="60">
        <f>Inputs!$B$41</f>
        <v>2602542</v>
      </c>
      <c r="G30" s="60">
        <f>Inputs!$B$41</f>
        <v>2602542</v>
      </c>
      <c r="H30" s="60">
        <f>Inputs!$B$41</f>
        <v>2602542</v>
      </c>
      <c r="I30" s="60">
        <f>Inputs!$B$41</f>
        <v>2602542</v>
      </c>
      <c r="J30" s="60">
        <f>Inputs!$B$41</f>
        <v>2602542</v>
      </c>
      <c r="K30" s="60">
        <f>Inputs!$B$41</f>
        <v>2602542</v>
      </c>
      <c r="L30" s="60">
        <f>Inputs!$B$41</f>
        <v>2602542</v>
      </c>
      <c r="M30" s="60">
        <f>Inputs!$B$41</f>
        <v>2602542</v>
      </c>
      <c r="N30" s="60">
        <f>SUM(B30:M30)</f>
        <v>31230504</v>
      </c>
    </row>
    <row r="31" spans="1:14" x14ac:dyDescent="0.25">
      <c r="A31" s="31" t="s">
        <v>388</v>
      </c>
      <c r="B31" s="60">
        <f>Inputs!$B$42</f>
        <v>1900000</v>
      </c>
      <c r="C31" s="60">
        <f>Inputs!$B$42</f>
        <v>1900000</v>
      </c>
      <c r="D31" s="60">
        <f>Inputs!$B$42</f>
        <v>1900000</v>
      </c>
      <c r="E31" s="60">
        <f>Inputs!$B$42</f>
        <v>1900000</v>
      </c>
      <c r="F31" s="60">
        <f>Inputs!$B$42</f>
        <v>1900000</v>
      </c>
      <c r="G31" s="60">
        <f>Inputs!$B$42</f>
        <v>1900000</v>
      </c>
      <c r="H31" s="60">
        <f>Inputs!$B$42</f>
        <v>1900000</v>
      </c>
      <c r="I31" s="60">
        <f>Inputs!$B$42</f>
        <v>1900000</v>
      </c>
      <c r="J31" s="60">
        <f>Inputs!$B$42</f>
        <v>1900000</v>
      </c>
      <c r="K31" s="60">
        <f>Inputs!$B$42</f>
        <v>1900000</v>
      </c>
      <c r="L31" s="60">
        <f>Inputs!$B$42</f>
        <v>1900000</v>
      </c>
      <c r="M31" s="60">
        <f>Inputs!$B$42</f>
        <v>1900000</v>
      </c>
      <c r="N31" s="60">
        <f>Inputs!$B$42</f>
        <v>1900000</v>
      </c>
    </row>
    <row r="32" spans="1:14" x14ac:dyDescent="0.25">
      <c r="A32" s="31" t="s">
        <v>389</v>
      </c>
      <c r="B32" s="60">
        <f>Inputs!$B$43</f>
        <v>2400000</v>
      </c>
      <c r="C32" s="60">
        <f>Inputs!$B$43</f>
        <v>2400000</v>
      </c>
      <c r="D32" s="60">
        <f>Inputs!$B$43</f>
        <v>2400000</v>
      </c>
      <c r="E32" s="60">
        <f>Inputs!$B$43</f>
        <v>2400000</v>
      </c>
      <c r="F32" s="60">
        <f>Inputs!$B$43</f>
        <v>2400000</v>
      </c>
      <c r="G32" s="60">
        <f>Inputs!$B$43</f>
        <v>2400000</v>
      </c>
      <c r="H32" s="60">
        <f>Inputs!$B$43</f>
        <v>2400000</v>
      </c>
      <c r="I32" s="60">
        <f>Inputs!$B$43</f>
        <v>2400000</v>
      </c>
      <c r="J32" s="60">
        <f>Inputs!$B$43</f>
        <v>2400000</v>
      </c>
      <c r="K32" s="60">
        <f>Inputs!$B$43</f>
        <v>2400000</v>
      </c>
      <c r="L32" s="60">
        <f>Inputs!$B$43</f>
        <v>2400000</v>
      </c>
      <c r="M32" s="60">
        <f>Inputs!$B$43</f>
        <v>2400000</v>
      </c>
      <c r="N32" s="60">
        <f>Inputs!$B$43</f>
        <v>2400000</v>
      </c>
    </row>
    <row r="33" spans="1:14" x14ac:dyDescent="0.25">
      <c r="A33" s="31" t="s">
        <v>390</v>
      </c>
      <c r="B33" s="60">
        <f>B5*(1-Inputs!$B$9)*Inputs!$B$35+B5*Inputs!$B$9*Inputs!$B$36+B9*Inputs!$B$37</f>
        <v>1800000</v>
      </c>
      <c r="C33" s="60">
        <f>C5*(1-Inputs!$B$9)*Inputs!$B$35+C5*Inputs!$B$9*Inputs!$B$36+C9*Inputs!$B$37</f>
        <v>1890000</v>
      </c>
      <c r="D33" s="60">
        <f>D5*(1-Inputs!$B$9)*Inputs!$B$35+D5*Inputs!$B$9*Inputs!$B$36+D9*Inputs!$B$37</f>
        <v>5580000</v>
      </c>
      <c r="E33" s="60">
        <f>E5*(1-Inputs!$B$9)*Inputs!$B$35+E5*Inputs!$B$9*Inputs!$B$36+E9*Inputs!$B$37</f>
        <v>3888000</v>
      </c>
      <c r="F33" s="60">
        <f>F5*(1-Inputs!$B$9)*Inputs!$B$35+F5*Inputs!$B$9*Inputs!$B$36+F9*Inputs!$B$37</f>
        <v>3996000</v>
      </c>
      <c r="G33" s="60">
        <f>G5*(1-Inputs!$B$9)*Inputs!$B$35+G5*Inputs!$B$9*Inputs!$B$36+G9*Inputs!$B$37</f>
        <v>4104000</v>
      </c>
      <c r="H33" s="60">
        <f>H5*(1-Inputs!$B$9)*Inputs!$B$35+H5*Inputs!$B$9*Inputs!$B$36+H9*Inputs!$B$37</f>
        <v>4212000</v>
      </c>
      <c r="I33" s="60">
        <f>I5*(1-Inputs!$B$9)*Inputs!$B$35+I5*Inputs!$B$9*Inputs!$B$36+I9*Inputs!$B$37</f>
        <v>4338000</v>
      </c>
      <c r="J33" s="60">
        <f>J5*(1-Inputs!$B$9)*Inputs!$B$35+J5*Inputs!$B$9*Inputs!$B$36+J9*Inputs!$B$37</f>
        <v>4464000</v>
      </c>
      <c r="K33" s="60">
        <f>K5*(1-Inputs!$B$9)*Inputs!$B$35+K5*Inputs!$B$9*Inputs!$B$36+K9*Inputs!$B$37</f>
        <v>4590000</v>
      </c>
      <c r="L33" s="60">
        <f>L5*(1-Inputs!$B$9)*Inputs!$B$35+L5*Inputs!$B$9*Inputs!$B$36+L9*Inputs!$B$37</f>
        <v>4734000</v>
      </c>
      <c r="M33" s="60">
        <f>M5*(1-Inputs!$B$9)*Inputs!$B$35+M5*Inputs!$B$9*Inputs!$B$36+M9*Inputs!$B$37</f>
        <v>4878000</v>
      </c>
      <c r="N33" s="60">
        <f>SUM(B33:M33)</f>
        <v>48474000</v>
      </c>
    </row>
    <row r="34" spans="1:14" x14ac:dyDescent="0.25">
      <c r="A34" s="42" t="s">
        <v>196</v>
      </c>
      <c r="B34" s="60">
        <f t="shared" ref="B34:M34" si="6">SUM(B29:B33)</f>
        <v>31377542</v>
      </c>
      <c r="C34" s="60">
        <f t="shared" si="6"/>
        <v>31467542</v>
      </c>
      <c r="D34" s="60">
        <f t="shared" si="6"/>
        <v>35157542</v>
      </c>
      <c r="E34" s="60">
        <f t="shared" si="6"/>
        <v>33465542</v>
      </c>
      <c r="F34" s="60">
        <f t="shared" si="6"/>
        <v>33573542</v>
      </c>
      <c r="G34" s="60">
        <f t="shared" si="6"/>
        <v>33681542</v>
      </c>
      <c r="H34" s="60">
        <f t="shared" si="6"/>
        <v>33789542</v>
      </c>
      <c r="I34" s="60">
        <f t="shared" si="6"/>
        <v>33915542</v>
      </c>
      <c r="J34" s="60">
        <f t="shared" si="6"/>
        <v>34041542</v>
      </c>
      <c r="K34" s="60">
        <f t="shared" si="6"/>
        <v>34167542</v>
      </c>
      <c r="L34" s="60">
        <f t="shared" si="6"/>
        <v>34311542</v>
      </c>
      <c r="M34" s="60">
        <f t="shared" si="6"/>
        <v>34455542</v>
      </c>
      <c r="N34" s="60">
        <f>SUM(B34:M34)</f>
        <v>403404504</v>
      </c>
    </row>
    <row r="35" spans="1:14" x14ac:dyDescent="0.25">
      <c r="A35" s="83" t="s">
        <v>391</v>
      </c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8"/>
    </row>
    <row r="36" spans="1:14" x14ac:dyDescent="0.25">
      <c r="A36" s="42" t="s">
        <v>392</v>
      </c>
      <c r="B36" s="60">
        <f t="shared" ref="B36:M36" si="7">B25-B34</f>
        <v>-28835562</v>
      </c>
      <c r="C36" s="60">
        <f t="shared" si="7"/>
        <v>-27943007</v>
      </c>
      <c r="D36" s="60">
        <f t="shared" si="7"/>
        <v>-29267672</v>
      </c>
      <c r="E36" s="60">
        <f t="shared" si="7"/>
        <v>-25866907</v>
      </c>
      <c r="F36" s="60">
        <f t="shared" si="7"/>
        <v>-24222712</v>
      </c>
      <c r="G36" s="60">
        <f t="shared" si="7"/>
        <v>-22587127</v>
      </c>
      <c r="H36" s="60">
        <f t="shared" si="7"/>
        <v>-20903807</v>
      </c>
      <c r="I36" s="60">
        <f t="shared" si="7"/>
        <v>-19238487</v>
      </c>
      <c r="J36" s="60">
        <f t="shared" si="7"/>
        <v>-17525432</v>
      </c>
      <c r="K36" s="60">
        <f t="shared" si="7"/>
        <v>-15812377</v>
      </c>
      <c r="L36" s="60">
        <f t="shared" si="7"/>
        <v>-14117322</v>
      </c>
      <c r="M36" s="60">
        <f t="shared" si="7"/>
        <v>-12365922</v>
      </c>
      <c r="N36" s="60">
        <f>SUM(B36:M36)</f>
        <v>-258686334</v>
      </c>
    </row>
    <row r="37" spans="1:14" x14ac:dyDescent="0.25">
      <c r="A37" s="31" t="s">
        <v>393</v>
      </c>
      <c r="B37" s="44">
        <f t="shared" ref="B37:N37" si="8">IFERROR(B36/B17,0)</f>
        <v>-6.1027644444444444</v>
      </c>
      <c r="C37" s="44">
        <f t="shared" si="8"/>
        <v>-4.3747417943278508</v>
      </c>
      <c r="D37" s="44">
        <f t="shared" si="8"/>
        <v>-3.110967591067082</v>
      </c>
      <c r="E37" s="44">
        <f t="shared" si="8"/>
        <v>-2.1954131850877379</v>
      </c>
      <c r="F37" s="44">
        <f t="shared" si="8"/>
        <v>-1.7045763666047402</v>
      </c>
      <c r="G37" s="44">
        <f t="shared" si="8"/>
        <v>-1.3592251010221059</v>
      </c>
      <c r="H37" s="44">
        <f t="shared" si="8"/>
        <v>-1.0950622212094305</v>
      </c>
      <c r="I37" s="44">
        <f t="shared" si="8"/>
        <v>-0.89229624338783853</v>
      </c>
      <c r="J37" s="44">
        <f t="shared" si="8"/>
        <v>-0.72730499161700501</v>
      </c>
      <c r="K37" s="44">
        <f t="shared" si="8"/>
        <v>-0.59373265019910149</v>
      </c>
      <c r="L37" s="44">
        <f t="shared" si="8"/>
        <v>-0.48400200220104977</v>
      </c>
      <c r="M37" s="44">
        <f t="shared" si="8"/>
        <v>-0.38900247886047917</v>
      </c>
      <c r="N37" s="44">
        <f t="shared" si="8"/>
        <v>-1.2005922708775787</v>
      </c>
    </row>
    <row r="38" spans="1:14" x14ac:dyDescent="0.25">
      <c r="A38" s="31" t="s">
        <v>394</v>
      </c>
      <c r="B38" s="61">
        <f>Inputs!$B$47/Inputs!$B$48</f>
        <v>6057976.888888889</v>
      </c>
      <c r="C38" s="61">
        <f>Inputs!$B$47/Inputs!$B$48</f>
        <v>6057976.888888889</v>
      </c>
      <c r="D38" s="61">
        <f>Inputs!$B$47/Inputs!$B$48</f>
        <v>6057976.888888889</v>
      </c>
      <c r="E38" s="61">
        <f>Inputs!$B$47/Inputs!$B$48</f>
        <v>6057976.888888889</v>
      </c>
      <c r="F38" s="61">
        <f>Inputs!$B$47/Inputs!$B$48</f>
        <v>6057976.888888889</v>
      </c>
      <c r="G38" s="61">
        <f>Inputs!$B$47/Inputs!$B$48</f>
        <v>6057976.888888889</v>
      </c>
      <c r="H38" s="61">
        <f>Inputs!$B$47/Inputs!$B$48</f>
        <v>6057976.888888889</v>
      </c>
      <c r="I38" s="61">
        <f>Inputs!$B$47/Inputs!$B$48</f>
        <v>6057976.888888889</v>
      </c>
      <c r="J38" s="61">
        <f>Inputs!$B$47/Inputs!$B$48</f>
        <v>6057976.888888889</v>
      </c>
      <c r="K38" s="61">
        <f>Inputs!$B$47/Inputs!$B$48</f>
        <v>6057976.888888889</v>
      </c>
      <c r="L38" s="61">
        <f>Inputs!$B$47/Inputs!$B$48</f>
        <v>6057976.888888889</v>
      </c>
      <c r="M38" s="61">
        <f>Inputs!$B$47/Inputs!$B$48</f>
        <v>6057976.888888889</v>
      </c>
      <c r="N38" s="61">
        <f>Inputs!$B$47/Inputs!$B$48</f>
        <v>6057976.888888889</v>
      </c>
    </row>
    <row r="39" spans="1:14" x14ac:dyDescent="0.25">
      <c r="A39" s="31" t="s">
        <v>395</v>
      </c>
      <c r="B39" s="60">
        <f t="shared" ref="B39:M39" si="9">B36-B38</f>
        <v>-34893538.888888888</v>
      </c>
      <c r="C39" s="60">
        <f t="shared" si="9"/>
        <v>-34000983.888888888</v>
      </c>
      <c r="D39" s="60">
        <f t="shared" si="9"/>
        <v>-35325648.888888888</v>
      </c>
      <c r="E39" s="60">
        <f t="shared" si="9"/>
        <v>-31924883.888888888</v>
      </c>
      <c r="F39" s="60">
        <f t="shared" si="9"/>
        <v>-30280688.888888888</v>
      </c>
      <c r="G39" s="60">
        <f t="shared" si="9"/>
        <v>-28645103.888888888</v>
      </c>
      <c r="H39" s="60">
        <f t="shared" si="9"/>
        <v>-26961783.888888888</v>
      </c>
      <c r="I39" s="60">
        <f t="shared" si="9"/>
        <v>-25296463.888888888</v>
      </c>
      <c r="J39" s="60">
        <f t="shared" si="9"/>
        <v>-23583408.888888888</v>
      </c>
      <c r="K39" s="60">
        <f t="shared" si="9"/>
        <v>-21870353.888888888</v>
      </c>
      <c r="L39" s="60">
        <f t="shared" si="9"/>
        <v>-20175298.888888888</v>
      </c>
      <c r="M39" s="60">
        <f t="shared" si="9"/>
        <v>-18423898.888888888</v>
      </c>
      <c r="N39" s="60">
        <f>SUM(B39:M39)</f>
        <v>-331382056.66666669</v>
      </c>
    </row>
    <row r="40" spans="1:14" x14ac:dyDescent="0.25">
      <c r="A40" s="31" t="s">
        <v>396</v>
      </c>
      <c r="B40" s="60">
        <f>IF(B39&gt;0,B39*Inputs!$B$52,0)</f>
        <v>0</v>
      </c>
      <c r="C40" s="60">
        <f>IF(C39&gt;0,C39*Inputs!$B$52,0)</f>
        <v>0</v>
      </c>
      <c r="D40" s="60">
        <f>IF(D39&gt;0,D39*Inputs!$B$52,0)</f>
        <v>0</v>
      </c>
      <c r="E40" s="60">
        <f>IF(E39&gt;0,E39*Inputs!$B$52,0)</f>
        <v>0</v>
      </c>
      <c r="F40" s="60">
        <f>IF(F39&gt;0,F39*Inputs!$B$52,0)</f>
        <v>0</v>
      </c>
      <c r="G40" s="60">
        <f>IF(G39&gt;0,G39*Inputs!$B$52,0)</f>
        <v>0</v>
      </c>
      <c r="H40" s="60">
        <f>IF(H39&gt;0,H39*Inputs!$B$52,0)</f>
        <v>0</v>
      </c>
      <c r="I40" s="60">
        <f>IF(I39&gt;0,I39*Inputs!$B$52,0)</f>
        <v>0</v>
      </c>
      <c r="J40" s="60">
        <f>IF(J39&gt;0,J39*Inputs!$B$52,0)</f>
        <v>0</v>
      </c>
      <c r="K40" s="60">
        <f>IF(K39&gt;0,K39*Inputs!$B$52,0)</f>
        <v>0</v>
      </c>
      <c r="L40" s="60">
        <f>IF(L39&gt;0,L39*Inputs!$B$52,0)</f>
        <v>0</v>
      </c>
      <c r="M40" s="60">
        <f>IF(M39&gt;0,M39*Inputs!$B$52,0)</f>
        <v>0</v>
      </c>
      <c r="N40" s="60">
        <f>SUM(B40:M40)</f>
        <v>0</v>
      </c>
    </row>
    <row r="41" spans="1:14" x14ac:dyDescent="0.25">
      <c r="A41" s="42" t="s">
        <v>397</v>
      </c>
      <c r="B41" s="60">
        <f t="shared" ref="B41:M41" si="10">B39-B40</f>
        <v>-34893538.888888888</v>
      </c>
      <c r="C41" s="60">
        <f t="shared" si="10"/>
        <v>-34000983.888888888</v>
      </c>
      <c r="D41" s="60">
        <f t="shared" si="10"/>
        <v>-35325648.888888888</v>
      </c>
      <c r="E41" s="60">
        <f t="shared" si="10"/>
        <v>-31924883.888888888</v>
      </c>
      <c r="F41" s="60">
        <f t="shared" si="10"/>
        <v>-30280688.888888888</v>
      </c>
      <c r="G41" s="60">
        <f t="shared" si="10"/>
        <v>-28645103.888888888</v>
      </c>
      <c r="H41" s="60">
        <f t="shared" si="10"/>
        <v>-26961783.888888888</v>
      </c>
      <c r="I41" s="60">
        <f t="shared" si="10"/>
        <v>-25296463.888888888</v>
      </c>
      <c r="J41" s="60">
        <f t="shared" si="10"/>
        <v>-23583408.888888888</v>
      </c>
      <c r="K41" s="60">
        <f t="shared" si="10"/>
        <v>-21870353.888888888</v>
      </c>
      <c r="L41" s="60">
        <f t="shared" si="10"/>
        <v>-20175298.888888888</v>
      </c>
      <c r="M41" s="60">
        <f t="shared" si="10"/>
        <v>-18423898.888888888</v>
      </c>
      <c r="N41" s="60">
        <f>SUM(B41:M41)</f>
        <v>-331382056.66666669</v>
      </c>
    </row>
    <row r="42" spans="1:14" x14ac:dyDescent="0.25">
      <c r="A42" s="47" t="s">
        <v>398</v>
      </c>
      <c r="B42" s="44">
        <f t="shared" ref="B42:N42" si="11">IFERROR(B41/B17,0)</f>
        <v>-7.3848759553203998</v>
      </c>
      <c r="C42" s="44">
        <f t="shared" si="11"/>
        <v>-5.3231753213600141</v>
      </c>
      <c r="D42" s="44">
        <f t="shared" si="11"/>
        <v>-3.7548920469912401</v>
      </c>
      <c r="E42" s="44">
        <f t="shared" si="11"/>
        <v>-2.7095744776158108</v>
      </c>
      <c r="F42" s="44">
        <f t="shared" si="11"/>
        <v>-2.1308822333564774</v>
      </c>
      <c r="G42" s="44">
        <f t="shared" si="11"/>
        <v>-1.7237758581320999</v>
      </c>
      <c r="H42" s="44">
        <f t="shared" si="11"/>
        <v>-1.4124140618565462</v>
      </c>
      <c r="I42" s="44">
        <f t="shared" si="11"/>
        <v>-1.1732700029400267</v>
      </c>
      <c r="J42" s="44">
        <f t="shared" si="11"/>
        <v>-0.97871088166235987</v>
      </c>
      <c r="K42" s="44">
        <f t="shared" si="11"/>
        <v>-0.82120121315360906</v>
      </c>
      <c r="L42" s="44">
        <f t="shared" si="11"/>
        <v>-0.69169528450415996</v>
      </c>
      <c r="M42" s="44">
        <f t="shared" si="11"/>
        <v>-0.57957201558060978</v>
      </c>
      <c r="N42" s="44">
        <f t="shared" si="11"/>
        <v>-1.5379812678528113</v>
      </c>
    </row>
  </sheetData>
  <mergeCells count="7">
    <mergeCell ref="A1:N1"/>
    <mergeCell ref="A35:N35"/>
    <mergeCell ref="A4:N4"/>
    <mergeCell ref="A12:N12"/>
    <mergeCell ref="A24:N24"/>
    <mergeCell ref="A19:N19"/>
    <mergeCell ref="A28:N2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23"/>
  <sheetViews>
    <sheetView workbookViewId="0">
      <selection activeCell="D22" sqref="D22"/>
    </sheetView>
  </sheetViews>
  <sheetFormatPr defaultRowHeight="15" x14ac:dyDescent="0.25"/>
  <cols>
    <col min="1" max="1" width="39" style="23" bestFit="1" customWidth="1"/>
    <col min="2" max="2" width="17.140625" style="23" bestFit="1" customWidth="1"/>
    <col min="3" max="13" width="15.5703125" style="23" bestFit="1" customWidth="1"/>
    <col min="14" max="14" width="17.28515625" style="23" bestFit="1" customWidth="1"/>
    <col min="15" max="19" width="9.140625" style="23" customWidth="1"/>
    <col min="20" max="16384" width="9.140625" style="23"/>
  </cols>
  <sheetData>
    <row r="1" spans="1:14" x14ac:dyDescent="0.25">
      <c r="A1" s="86" t="s">
        <v>399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8"/>
    </row>
    <row r="3" spans="1:14" x14ac:dyDescent="0.25">
      <c r="A3" s="33" t="s">
        <v>351</v>
      </c>
      <c r="B3" s="33" t="s">
        <v>352</v>
      </c>
      <c r="C3" s="33" t="s">
        <v>353</v>
      </c>
      <c r="D3" s="33" t="s">
        <v>354</v>
      </c>
      <c r="E3" s="33" t="s">
        <v>355</v>
      </c>
      <c r="F3" s="33" t="s">
        <v>356</v>
      </c>
      <c r="G3" s="33" t="s">
        <v>357</v>
      </c>
      <c r="H3" s="33" t="s">
        <v>358</v>
      </c>
      <c r="I3" s="33" t="s">
        <v>359</v>
      </c>
      <c r="J3" s="33" t="s">
        <v>360</v>
      </c>
      <c r="K3" s="33" t="s">
        <v>361</v>
      </c>
      <c r="L3" s="33" t="s">
        <v>362</v>
      </c>
      <c r="M3" s="33" t="s">
        <v>363</v>
      </c>
      <c r="N3" s="33" t="s">
        <v>364</v>
      </c>
    </row>
    <row r="4" spans="1:14" ht="15.95" customHeight="1" x14ac:dyDescent="0.25">
      <c r="A4" s="83" t="s">
        <v>400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8"/>
    </row>
    <row r="5" spans="1:14" ht="15" customHeight="1" x14ac:dyDescent="0.25">
      <c r="A5" s="31" t="s">
        <v>401</v>
      </c>
      <c r="B5" s="60">
        <f>'P&amp;G 12 Meses'!B36</f>
        <v>-28835562</v>
      </c>
      <c r="C5" s="60">
        <f>'P&amp;G 12 Meses'!C36</f>
        <v>-27943007</v>
      </c>
      <c r="D5" s="60">
        <f>'P&amp;G 12 Meses'!D36</f>
        <v>-29267672</v>
      </c>
      <c r="E5" s="60">
        <f>'P&amp;G 12 Meses'!E36</f>
        <v>-25866907</v>
      </c>
      <c r="F5" s="60">
        <f>'P&amp;G 12 Meses'!F36</f>
        <v>-24222712</v>
      </c>
      <c r="G5" s="60">
        <f>'P&amp;G 12 Meses'!G36</f>
        <v>-22587127</v>
      </c>
      <c r="H5" s="60">
        <f>'P&amp;G 12 Meses'!H36</f>
        <v>-20903807</v>
      </c>
      <c r="I5" s="60">
        <f>'P&amp;G 12 Meses'!I36</f>
        <v>-19238487</v>
      </c>
      <c r="J5" s="60">
        <f>'P&amp;G 12 Meses'!J36</f>
        <v>-17525432</v>
      </c>
      <c r="K5" s="60">
        <f>'P&amp;G 12 Meses'!K36</f>
        <v>-15812377</v>
      </c>
      <c r="L5" s="60">
        <f>'P&amp;G 12 Meses'!L36</f>
        <v>-14117322</v>
      </c>
      <c r="M5" s="60">
        <f>'P&amp;G 12 Meses'!M36</f>
        <v>-12365922</v>
      </c>
      <c r="N5" s="60">
        <f>SUM(B5:M5)</f>
        <v>-258686334</v>
      </c>
    </row>
    <row r="6" spans="1:14" ht="15" customHeight="1" x14ac:dyDescent="0.25">
      <c r="A6" s="31" t="s">
        <v>402</v>
      </c>
      <c r="B6" s="60">
        <f>-'P&amp;G 12 Meses'!B17*0.05</f>
        <v>-236250</v>
      </c>
      <c r="C6" s="60">
        <f>-('P&amp;G 12 Meses'!C17 - 'P&amp;G 12 Meses'!B17)*0.05</f>
        <v>-83117.5</v>
      </c>
      <c r="D6" s="60">
        <f>-('P&amp;G 12 Meses'!D17 - 'P&amp;G 12 Meses'!C17)*0.05</f>
        <v>-151027.5</v>
      </c>
      <c r="E6" s="60">
        <f>-('P&amp;G 12 Meses'!E17 - 'P&amp;G 12 Meses'!D17)*0.05</f>
        <v>-118717.5</v>
      </c>
      <c r="F6" s="60">
        <f>-('P&amp;G 12 Meses'!F17 - 'P&amp;G 12 Meses'!E17)*0.05</f>
        <v>-121407.5</v>
      </c>
      <c r="G6" s="60">
        <f>-('P&amp;G 12 Meses'!G17 - 'P&amp;G 12 Meses'!F17)*0.05</f>
        <v>-120362.5</v>
      </c>
      <c r="H6" s="60">
        <f>-('P&amp;G 12 Meses'!H17 - 'P&amp;G 12 Meses'!G17)*0.05</f>
        <v>-123575</v>
      </c>
      <c r="I6" s="60">
        <f>-('P&amp;G 12 Meses'!I17 - 'P&amp;G 12 Meses'!H17)*0.05</f>
        <v>-123575</v>
      </c>
      <c r="J6" s="60">
        <f>-('P&amp;G 12 Meses'!J17 - 'P&amp;G 12 Meses'!I17)*0.05</f>
        <v>-126787.5</v>
      </c>
      <c r="K6" s="60">
        <f>-('P&amp;G 12 Meses'!K17 - 'P&amp;G 12 Meses'!J17)*0.05</f>
        <v>-126787.5</v>
      </c>
      <c r="L6" s="60">
        <f>-('P&amp;G 12 Meses'!L17 - 'P&amp;G 12 Meses'!K17)*0.05</f>
        <v>-126787.5</v>
      </c>
      <c r="M6" s="60">
        <f>-('P&amp;G 12 Meses'!M17 - 'P&amp;G 12 Meses'!L17)*0.05</f>
        <v>-131045</v>
      </c>
      <c r="N6" s="60">
        <f>SUM(B6:M6)</f>
        <v>-1589440</v>
      </c>
    </row>
    <row r="7" spans="1:14" ht="15" customHeight="1" x14ac:dyDescent="0.25">
      <c r="A7" s="31" t="s">
        <v>403</v>
      </c>
      <c r="B7" s="60">
        <f>-'P&amp;G 12 Meses'!C40</f>
        <v>0</v>
      </c>
      <c r="C7" s="60">
        <f>-'P&amp;G 12 Meses'!D40</f>
        <v>0</v>
      </c>
      <c r="D7" s="60">
        <f>-'P&amp;G 12 Meses'!E40</f>
        <v>0</v>
      </c>
      <c r="E7" s="60">
        <f>-'P&amp;G 12 Meses'!F40</f>
        <v>0</v>
      </c>
      <c r="F7" s="60">
        <f>-'P&amp;G 12 Meses'!G40</f>
        <v>0</v>
      </c>
      <c r="G7" s="60">
        <f>-'P&amp;G 12 Meses'!H40</f>
        <v>0</v>
      </c>
      <c r="H7" s="60">
        <f>-'P&amp;G 12 Meses'!I40</f>
        <v>0</v>
      </c>
      <c r="I7" s="60">
        <f>-'P&amp;G 12 Meses'!J40</f>
        <v>0</v>
      </c>
      <c r="J7" s="60">
        <f>-'P&amp;G 12 Meses'!K40</f>
        <v>0</v>
      </c>
      <c r="K7" s="60">
        <f>-'P&amp;G 12 Meses'!L40</f>
        <v>0</v>
      </c>
      <c r="L7" s="60">
        <f>-'P&amp;G 12 Meses'!M40</f>
        <v>0</v>
      </c>
      <c r="M7" s="60">
        <f>-'P&amp;G 12 Meses'!N40</f>
        <v>0</v>
      </c>
      <c r="N7" s="60">
        <f>SUM(B7:M7)</f>
        <v>0</v>
      </c>
    </row>
    <row r="8" spans="1:14" ht="15" customHeight="1" x14ac:dyDescent="0.25">
      <c r="A8" s="31" t="s">
        <v>404</v>
      </c>
      <c r="B8" s="60">
        <f t="shared" ref="B8:M8" si="0">B5+B6+B7</f>
        <v>-29071812</v>
      </c>
      <c r="C8" s="60">
        <f t="shared" si="0"/>
        <v>-28026124.5</v>
      </c>
      <c r="D8" s="60">
        <f t="shared" si="0"/>
        <v>-29418699.5</v>
      </c>
      <c r="E8" s="60">
        <f t="shared" si="0"/>
        <v>-25985624.5</v>
      </c>
      <c r="F8" s="60">
        <f t="shared" si="0"/>
        <v>-24344119.5</v>
      </c>
      <c r="G8" s="60">
        <f t="shared" si="0"/>
        <v>-22707489.5</v>
      </c>
      <c r="H8" s="60">
        <f t="shared" si="0"/>
        <v>-21027382</v>
      </c>
      <c r="I8" s="60">
        <f t="shared" si="0"/>
        <v>-19362062</v>
      </c>
      <c r="J8" s="60">
        <f t="shared" si="0"/>
        <v>-17652219.5</v>
      </c>
      <c r="K8" s="60">
        <f t="shared" si="0"/>
        <v>-15939164.5</v>
      </c>
      <c r="L8" s="60">
        <f t="shared" si="0"/>
        <v>-14244109.5</v>
      </c>
      <c r="M8" s="60">
        <f t="shared" si="0"/>
        <v>-12496967</v>
      </c>
      <c r="N8" s="60">
        <f>SUM(B8:M8)</f>
        <v>-260275774</v>
      </c>
    </row>
    <row r="10" spans="1:14" ht="15.95" customHeight="1" x14ac:dyDescent="0.25">
      <c r="A10" s="83" t="s">
        <v>405</v>
      </c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8"/>
    </row>
    <row r="11" spans="1:14" ht="15" customHeight="1" x14ac:dyDescent="0.25">
      <c r="A11" s="31" t="s">
        <v>406</v>
      </c>
      <c r="B11" s="60">
        <f>-Inputs!$B$47</f>
        <v>-218087168</v>
      </c>
      <c r="C11" s="60">
        <f>0</f>
        <v>0</v>
      </c>
      <c r="D11" s="60">
        <f>0</f>
        <v>0</v>
      </c>
      <c r="E11" s="60">
        <f>0</f>
        <v>0</v>
      </c>
      <c r="F11" s="60">
        <f>0</f>
        <v>0</v>
      </c>
      <c r="G11" s="60">
        <f>0</f>
        <v>0</v>
      </c>
      <c r="H11" s="60">
        <f>0</f>
        <v>0</v>
      </c>
      <c r="I11" s="60">
        <f>0</f>
        <v>0</v>
      </c>
      <c r="J11" s="60">
        <f>0</f>
        <v>0</v>
      </c>
      <c r="K11" s="60">
        <f>0</f>
        <v>0</v>
      </c>
      <c r="L11" s="60">
        <f>0</f>
        <v>0</v>
      </c>
      <c r="M11" s="60">
        <f>0</f>
        <v>0</v>
      </c>
      <c r="N11" s="60">
        <f>SUM(B11:M11)</f>
        <v>-218087168</v>
      </c>
    </row>
    <row r="12" spans="1:14" ht="15" customHeight="1" x14ac:dyDescent="0.25">
      <c r="A12" s="31" t="s">
        <v>407</v>
      </c>
      <c r="B12" s="60">
        <f t="shared" ref="B12:M12" si="1">B11</f>
        <v>-218087168</v>
      </c>
      <c r="C12" s="60">
        <f t="shared" si="1"/>
        <v>0</v>
      </c>
      <c r="D12" s="60">
        <f t="shared" si="1"/>
        <v>0</v>
      </c>
      <c r="E12" s="60">
        <f t="shared" si="1"/>
        <v>0</v>
      </c>
      <c r="F12" s="60">
        <f t="shared" si="1"/>
        <v>0</v>
      </c>
      <c r="G12" s="60">
        <f t="shared" si="1"/>
        <v>0</v>
      </c>
      <c r="H12" s="60">
        <f t="shared" si="1"/>
        <v>0</v>
      </c>
      <c r="I12" s="60">
        <f t="shared" si="1"/>
        <v>0</v>
      </c>
      <c r="J12" s="60">
        <f t="shared" si="1"/>
        <v>0</v>
      </c>
      <c r="K12" s="60">
        <f t="shared" si="1"/>
        <v>0</v>
      </c>
      <c r="L12" s="60">
        <f t="shared" si="1"/>
        <v>0</v>
      </c>
      <c r="M12" s="60">
        <f t="shared" si="1"/>
        <v>0</v>
      </c>
      <c r="N12" s="60">
        <f>SUM(B12:M12)</f>
        <v>-218087168</v>
      </c>
    </row>
    <row r="14" spans="1:14" ht="15.95" customHeight="1" x14ac:dyDescent="0.25">
      <c r="A14" s="83" t="s">
        <v>408</v>
      </c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8"/>
    </row>
    <row r="15" spans="1:14" ht="15" customHeight="1" x14ac:dyDescent="0.25">
      <c r="A15" s="31" t="s">
        <v>409</v>
      </c>
      <c r="B15" s="60">
        <f>0</f>
        <v>0</v>
      </c>
      <c r="C15" s="60">
        <f>0</f>
        <v>0</v>
      </c>
      <c r="D15" s="60">
        <f>0</f>
        <v>0</v>
      </c>
      <c r="E15" s="60">
        <f>0</f>
        <v>0</v>
      </c>
      <c r="F15" s="60">
        <f>0</f>
        <v>0</v>
      </c>
      <c r="G15" s="60">
        <f>0</f>
        <v>0</v>
      </c>
      <c r="H15" s="60">
        <f>0</f>
        <v>0</v>
      </c>
      <c r="I15" s="60">
        <f>0</f>
        <v>0</v>
      </c>
      <c r="J15" s="60">
        <f>0</f>
        <v>0</v>
      </c>
      <c r="K15" s="60">
        <f>0</f>
        <v>0</v>
      </c>
      <c r="L15" s="60">
        <f>0</f>
        <v>0</v>
      </c>
      <c r="M15" s="60">
        <f>0</f>
        <v>0</v>
      </c>
      <c r="N15" s="60">
        <f>SUM(B15:M15)</f>
        <v>0</v>
      </c>
    </row>
    <row r="16" spans="1:14" ht="15" customHeight="1" x14ac:dyDescent="0.25">
      <c r="A16" s="31" t="s">
        <v>410</v>
      </c>
      <c r="B16" s="60">
        <f t="shared" ref="B16:M16" si="2">B15</f>
        <v>0</v>
      </c>
      <c r="C16" s="60">
        <f t="shared" si="2"/>
        <v>0</v>
      </c>
      <c r="D16" s="60">
        <f t="shared" si="2"/>
        <v>0</v>
      </c>
      <c r="E16" s="60">
        <f t="shared" si="2"/>
        <v>0</v>
      </c>
      <c r="F16" s="60">
        <f t="shared" si="2"/>
        <v>0</v>
      </c>
      <c r="G16" s="60">
        <f t="shared" si="2"/>
        <v>0</v>
      </c>
      <c r="H16" s="60">
        <f t="shared" si="2"/>
        <v>0</v>
      </c>
      <c r="I16" s="60">
        <f t="shared" si="2"/>
        <v>0</v>
      </c>
      <c r="J16" s="60">
        <f t="shared" si="2"/>
        <v>0</v>
      </c>
      <c r="K16" s="60">
        <f t="shared" si="2"/>
        <v>0</v>
      </c>
      <c r="L16" s="60">
        <f t="shared" si="2"/>
        <v>0</v>
      </c>
      <c r="M16" s="60">
        <f t="shared" si="2"/>
        <v>0</v>
      </c>
      <c r="N16" s="60">
        <f>SUM(B16:M16)</f>
        <v>0</v>
      </c>
    </row>
    <row r="18" spans="1:14" ht="15.95" customHeight="1" x14ac:dyDescent="0.25">
      <c r="A18" s="83" t="s">
        <v>411</v>
      </c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8"/>
    </row>
    <row r="19" spans="1:14" ht="15" customHeight="1" x14ac:dyDescent="0.25">
      <c r="A19" s="31" t="s">
        <v>412</v>
      </c>
      <c r="B19" s="60">
        <f t="shared" ref="B19:M19" si="3">B8+B12+B16</f>
        <v>-247158980</v>
      </c>
      <c r="C19" s="60">
        <f t="shared" si="3"/>
        <v>-28026124.5</v>
      </c>
      <c r="D19" s="60">
        <f t="shared" si="3"/>
        <v>-29418699.5</v>
      </c>
      <c r="E19" s="60">
        <f t="shared" si="3"/>
        <v>-25985624.5</v>
      </c>
      <c r="F19" s="60">
        <f t="shared" si="3"/>
        <v>-24344119.5</v>
      </c>
      <c r="G19" s="60">
        <f t="shared" si="3"/>
        <v>-22707489.5</v>
      </c>
      <c r="H19" s="60">
        <f t="shared" si="3"/>
        <v>-21027382</v>
      </c>
      <c r="I19" s="60">
        <f t="shared" si="3"/>
        <v>-19362062</v>
      </c>
      <c r="J19" s="60">
        <f t="shared" si="3"/>
        <v>-17652219.5</v>
      </c>
      <c r="K19" s="60">
        <f t="shared" si="3"/>
        <v>-15939164.5</v>
      </c>
      <c r="L19" s="60">
        <f t="shared" si="3"/>
        <v>-14244109.5</v>
      </c>
      <c r="M19" s="60">
        <f t="shared" si="3"/>
        <v>-12496967</v>
      </c>
      <c r="N19" s="60">
        <f>SUM(B19:M19)</f>
        <v>-478362942</v>
      </c>
    </row>
    <row r="20" spans="1:14" ht="15" customHeight="1" x14ac:dyDescent="0.25">
      <c r="A20" s="31" t="s">
        <v>413</v>
      </c>
      <c r="B20" s="60">
        <f>B19</f>
        <v>-247158980</v>
      </c>
      <c r="C20" s="60">
        <f t="shared" ref="C20:M20" si="4">B20+C19</f>
        <v>-275185104.5</v>
      </c>
      <c r="D20" s="60">
        <f t="shared" si="4"/>
        <v>-304603804</v>
      </c>
      <c r="E20" s="60">
        <f t="shared" si="4"/>
        <v>-330589428.5</v>
      </c>
      <c r="F20" s="60">
        <f t="shared" si="4"/>
        <v>-354933548</v>
      </c>
      <c r="G20" s="60">
        <f t="shared" si="4"/>
        <v>-377641037.5</v>
      </c>
      <c r="H20" s="60">
        <f t="shared" si="4"/>
        <v>-398668419.5</v>
      </c>
      <c r="I20" s="60">
        <f t="shared" si="4"/>
        <v>-418030481.5</v>
      </c>
      <c r="J20" s="60">
        <f t="shared" si="4"/>
        <v>-435682701</v>
      </c>
      <c r="K20" s="60">
        <f t="shared" si="4"/>
        <v>-451621865.5</v>
      </c>
      <c r="L20" s="60">
        <f t="shared" si="4"/>
        <v>-465865975</v>
      </c>
      <c r="M20" s="60">
        <f t="shared" si="4"/>
        <v>-478362942</v>
      </c>
      <c r="N20" s="60">
        <f>SUM(B20:M20)</f>
        <v>-4538344287</v>
      </c>
    </row>
    <row r="21" spans="1:14" ht="15" customHeight="1" x14ac:dyDescent="0.25">
      <c r="A21" s="31" t="s">
        <v>414</v>
      </c>
      <c r="B21" s="60">
        <f>Inputs!$B$40*2</f>
        <v>45350000</v>
      </c>
      <c r="C21" s="60">
        <f>Inputs!$B$40*2</f>
        <v>45350000</v>
      </c>
      <c r="D21" s="60">
        <f>Inputs!$B$40*2</f>
        <v>45350000</v>
      </c>
      <c r="E21" s="60">
        <f>Inputs!$B$40*2</f>
        <v>45350000</v>
      </c>
      <c r="F21" s="60">
        <f>Inputs!$B$40*2</f>
        <v>45350000</v>
      </c>
      <c r="G21" s="60">
        <f>Inputs!$B$40*2</f>
        <v>45350000</v>
      </c>
      <c r="H21" s="60">
        <f>Inputs!$B$40*2</f>
        <v>45350000</v>
      </c>
      <c r="I21" s="60">
        <f>Inputs!$B$40*2</f>
        <v>45350000</v>
      </c>
      <c r="J21" s="60">
        <f>Inputs!$B$40*2</f>
        <v>45350000</v>
      </c>
      <c r="K21" s="60">
        <f>Inputs!$B$40*2</f>
        <v>45350000</v>
      </c>
      <c r="L21" s="60">
        <f>Inputs!$B$40*2</f>
        <v>45350000</v>
      </c>
      <c r="M21" s="60">
        <f>Inputs!$B$40*2</f>
        <v>45350000</v>
      </c>
      <c r="N21" s="60">
        <f>SUM(B21:M21)</f>
        <v>544200000</v>
      </c>
    </row>
    <row r="23" spans="1:14" x14ac:dyDescent="0.25">
      <c r="A23" s="32"/>
    </row>
  </sheetData>
  <mergeCells count="5">
    <mergeCell ref="A18:N18"/>
    <mergeCell ref="A4:N4"/>
    <mergeCell ref="A10:N10"/>
    <mergeCell ref="A14:N14"/>
    <mergeCell ref="A1:N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L42"/>
  <sheetViews>
    <sheetView topLeftCell="V1" workbookViewId="0">
      <selection activeCell="AO43" sqref="AO43"/>
    </sheetView>
  </sheetViews>
  <sheetFormatPr defaultRowHeight="15" x14ac:dyDescent="0.25"/>
  <cols>
    <col min="1" max="1" width="46" customWidth="1"/>
    <col min="2" max="17" width="16.140625" bestFit="1" customWidth="1"/>
    <col min="18" max="21" width="16" bestFit="1" customWidth="1"/>
    <col min="22" max="33" width="15.7109375" bestFit="1" customWidth="1"/>
    <col min="34" max="37" width="16.7109375" bestFit="1" customWidth="1"/>
    <col min="38" max="38" width="18.42578125" bestFit="1" customWidth="1"/>
  </cols>
  <sheetData>
    <row r="1" spans="1:38" x14ac:dyDescent="0.25">
      <c r="A1" s="87" t="s">
        <v>415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8"/>
    </row>
    <row r="3" spans="1:38" x14ac:dyDescent="0.25">
      <c r="A3" s="2" t="s">
        <v>351</v>
      </c>
      <c r="B3" s="2" t="s">
        <v>352</v>
      </c>
      <c r="C3" s="2" t="s">
        <v>353</v>
      </c>
      <c r="D3" s="2" t="s">
        <v>354</v>
      </c>
      <c r="E3" s="2" t="s">
        <v>355</v>
      </c>
      <c r="F3" s="2" t="s">
        <v>356</v>
      </c>
      <c r="G3" s="2" t="s">
        <v>357</v>
      </c>
      <c r="H3" s="2" t="s">
        <v>358</v>
      </c>
      <c r="I3" s="2" t="s">
        <v>359</v>
      </c>
      <c r="J3" s="2" t="s">
        <v>360</v>
      </c>
      <c r="K3" s="2" t="s">
        <v>361</v>
      </c>
      <c r="L3" s="2" t="s">
        <v>362</v>
      </c>
      <c r="M3" s="2" t="s">
        <v>363</v>
      </c>
      <c r="N3" s="2" t="s">
        <v>416</v>
      </c>
      <c r="O3" s="2" t="s">
        <v>417</v>
      </c>
      <c r="P3" s="2" t="s">
        <v>418</v>
      </c>
      <c r="Q3" s="2" t="s">
        <v>419</v>
      </c>
      <c r="R3" s="2" t="s">
        <v>420</v>
      </c>
      <c r="S3" s="2" t="s">
        <v>421</v>
      </c>
      <c r="T3" s="2" t="s">
        <v>422</v>
      </c>
      <c r="U3" s="2" t="s">
        <v>423</v>
      </c>
      <c r="V3" s="2" t="s">
        <v>424</v>
      </c>
      <c r="W3" s="2" t="s">
        <v>425</v>
      </c>
      <c r="X3" s="2" t="s">
        <v>426</v>
      </c>
      <c r="Y3" s="2" t="s">
        <v>427</v>
      </c>
      <c r="Z3" s="2" t="s">
        <v>428</v>
      </c>
      <c r="AA3" s="2" t="s">
        <v>429</v>
      </c>
      <c r="AB3" s="2" t="s">
        <v>430</v>
      </c>
      <c r="AC3" s="2" t="s">
        <v>431</v>
      </c>
      <c r="AD3" s="2" t="s">
        <v>432</v>
      </c>
      <c r="AE3" s="2" t="s">
        <v>433</v>
      </c>
      <c r="AF3" s="2" t="s">
        <v>434</v>
      </c>
      <c r="AG3" s="2" t="s">
        <v>435</v>
      </c>
      <c r="AH3" s="2" t="s">
        <v>436</v>
      </c>
      <c r="AI3" s="2" t="s">
        <v>437</v>
      </c>
      <c r="AJ3" s="2" t="s">
        <v>438</v>
      </c>
      <c r="AK3" s="2" t="s">
        <v>439</v>
      </c>
      <c r="AL3" s="2" t="s">
        <v>440</v>
      </c>
    </row>
    <row r="4" spans="1:38" x14ac:dyDescent="0.25">
      <c r="A4" s="66" t="s">
        <v>365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8"/>
    </row>
    <row r="5" spans="1:38" x14ac:dyDescent="0.25">
      <c r="A5" s="1" t="s">
        <v>366</v>
      </c>
      <c r="B5" s="1">
        <f>ROUND(Inputs!$B$7*(1+Inputs!$B$8)^0,0)</f>
        <v>100</v>
      </c>
      <c r="C5" s="1">
        <f>ROUND(Inputs!$B$7*(1+Inputs!$B$8)^1,0)</f>
        <v>105</v>
      </c>
      <c r="D5" s="1">
        <f>ROUND(Inputs!$B$7*(1+Inputs!$B$8)^2,0)</f>
        <v>110</v>
      </c>
      <c r="E5" s="1">
        <f>ROUND(Inputs!$B$7*(1+Inputs!$B$8)^3,0)</f>
        <v>116</v>
      </c>
      <c r="F5" s="1">
        <f>ROUND(Inputs!$B$7*(1+Inputs!$B$8)^4,0)</f>
        <v>122</v>
      </c>
      <c r="G5" s="1">
        <f>ROUND(Inputs!$B$7*(1+Inputs!$B$8)^5,0)</f>
        <v>128</v>
      </c>
      <c r="H5" s="1">
        <f>ROUND(Inputs!$B$7*(1+Inputs!$B$8)^6,0)</f>
        <v>134</v>
      </c>
      <c r="I5" s="1">
        <f>ROUND(Inputs!$B$7*(1+Inputs!$B$8)^7,0)</f>
        <v>141</v>
      </c>
      <c r="J5" s="1">
        <f>ROUND(Inputs!$B$7*(1+Inputs!$B$8)^8,0)</f>
        <v>148</v>
      </c>
      <c r="K5" s="1">
        <f>ROUND(Inputs!$B$7*(1+Inputs!$B$8)^9,0)</f>
        <v>155</v>
      </c>
      <c r="L5" s="1">
        <f>ROUND(Inputs!$B$7*(1+Inputs!$B$8)^10,0)</f>
        <v>163</v>
      </c>
      <c r="M5" s="1">
        <f>ROUND(Inputs!$B$7*(1+Inputs!$B$8)^11,0)</f>
        <v>171</v>
      </c>
      <c r="N5" s="1">
        <f>ROUND(Inputs!$B$7*(1+Inputs!$B$8)^12,0)</f>
        <v>180</v>
      </c>
      <c r="O5" s="1">
        <f>ROUND(Inputs!$B$7*(1+Inputs!$B$8)^13,0)</f>
        <v>189</v>
      </c>
      <c r="P5" s="1">
        <f>ROUND(Inputs!$B$7*(1+Inputs!$B$8)^14,0)</f>
        <v>198</v>
      </c>
      <c r="Q5" s="1">
        <f>ROUND(Inputs!$B$7*(1+Inputs!$B$8)^15,0)</f>
        <v>208</v>
      </c>
      <c r="R5" s="1">
        <f>ROUND(Inputs!$B$7*(1+Inputs!$B$8)^16,0)</f>
        <v>218</v>
      </c>
      <c r="S5" s="1">
        <f>ROUND(Inputs!$B$7*(1+Inputs!$B$8)^17,0)</f>
        <v>229</v>
      </c>
      <c r="T5" s="1">
        <f>ROUND(Inputs!$B$7*(1+Inputs!$B$8)^18,0)</f>
        <v>241</v>
      </c>
      <c r="U5" s="1">
        <f>ROUND(Inputs!$B$7*(1+Inputs!$B$8)^19,0)</f>
        <v>253</v>
      </c>
      <c r="V5" s="1">
        <f>ROUND(Inputs!$B$7*(1+Inputs!$B$8)^20,0)</f>
        <v>265</v>
      </c>
      <c r="W5" s="1">
        <f>ROUND(Inputs!$B$7*(1+Inputs!$B$8)^21,0)</f>
        <v>279</v>
      </c>
      <c r="X5" s="1">
        <f>ROUND(Inputs!$B$7*(1+Inputs!$B$8)^22,0)</f>
        <v>293</v>
      </c>
      <c r="Y5" s="1">
        <f>ROUND(Inputs!$B$7*(1+Inputs!$B$8)^23,0)</f>
        <v>307</v>
      </c>
      <c r="Z5" s="1">
        <f>ROUND(Inputs!$B$7*(1+Inputs!$B$8)^24,0)</f>
        <v>323</v>
      </c>
      <c r="AA5" s="1">
        <f>ROUND(Inputs!$B$7*(1+Inputs!$B$8)^25,0)</f>
        <v>339</v>
      </c>
      <c r="AB5" s="1">
        <f>ROUND(Inputs!$B$7*(1+Inputs!$B$8)^26,0)</f>
        <v>356</v>
      </c>
      <c r="AC5" s="1">
        <f>ROUND(Inputs!$B$7*(1+Inputs!$B$8)^27,0)</f>
        <v>373</v>
      </c>
      <c r="AD5" s="1">
        <f>ROUND(Inputs!$B$7*(1+Inputs!$B$8)^28,0)</f>
        <v>392</v>
      </c>
      <c r="AE5" s="1">
        <f>ROUND(Inputs!$B$7*(1+Inputs!$B$8)^29,0)</f>
        <v>412</v>
      </c>
      <c r="AF5" s="1">
        <f>ROUND(Inputs!$B$7*(1+Inputs!$B$8)^30,0)</f>
        <v>432</v>
      </c>
      <c r="AG5" s="1">
        <f>ROUND(Inputs!$B$7*(1+Inputs!$B$8)^31,0)</f>
        <v>454</v>
      </c>
      <c r="AH5" s="1">
        <f>ROUND(Inputs!$B$7*(1+Inputs!$B$8)^32,0)</f>
        <v>476</v>
      </c>
      <c r="AI5" s="1">
        <f>ROUND(Inputs!$B$7*(1+Inputs!$B$8)^33,0)</f>
        <v>500</v>
      </c>
      <c r="AJ5" s="1">
        <f>ROUND(Inputs!$B$7*(1+Inputs!$B$8)^34,0)</f>
        <v>525</v>
      </c>
      <c r="AK5" s="1">
        <f>ROUND(Inputs!$B$7*(1+Inputs!$B$8)^35,0)</f>
        <v>552</v>
      </c>
      <c r="AL5" s="1">
        <f t="shared" ref="AL5:AL10" si="0">SUM(B5:AK5)</f>
        <v>9587</v>
      </c>
    </row>
    <row r="6" spans="1:38" x14ac:dyDescent="0.25">
      <c r="A6" s="1" t="s">
        <v>367</v>
      </c>
      <c r="B6" s="1">
        <f>ROUND((Inputs!$B$6*(1-Inputs!$B$9))+B5*(1-Inputs!$B$9),0)</f>
        <v>252</v>
      </c>
      <c r="C6" s="1">
        <f>ROUND(B6*(1-Inputs!$B$11-Inputs!$B$10)+C5*(1-Inputs!$B$9),0)</f>
        <v>311</v>
      </c>
      <c r="D6" s="1">
        <f>ROUND(C6*(1-Inputs!$B$11-Inputs!$B$10)+D5*(1-Inputs!$B$9),0)</f>
        <v>366</v>
      </c>
      <c r="E6" s="1">
        <f>ROUND(D6*(1-Inputs!$B$11-Inputs!$B$10)+E5*(1-Inputs!$B$9),0)</f>
        <v>419</v>
      </c>
      <c r="F6" s="1">
        <f>ROUND(E6*(1-Inputs!$B$11-Inputs!$B$10)+F5*(1-Inputs!$B$9),0)</f>
        <v>470</v>
      </c>
      <c r="G6" s="1">
        <f>ROUND(F6*(1-Inputs!$B$11-Inputs!$B$10)+G5*(1-Inputs!$B$9),0)</f>
        <v>519</v>
      </c>
      <c r="H6" s="1">
        <f>ROUND(G6*(1-Inputs!$B$11-Inputs!$B$10)+H5*(1-Inputs!$B$9),0)</f>
        <v>567</v>
      </c>
      <c r="I6" s="1">
        <f>ROUND(H6*(1-Inputs!$B$11-Inputs!$B$10)+I5*(1-Inputs!$B$9),0)</f>
        <v>615</v>
      </c>
      <c r="J6" s="1">
        <f>ROUND(I6*(1-Inputs!$B$11-Inputs!$B$10)+J5*(1-Inputs!$B$9),0)</f>
        <v>662</v>
      </c>
      <c r="K6" s="1">
        <f>ROUND(J6*(1-Inputs!$B$11-Inputs!$B$10)+K5*(1-Inputs!$B$9),0)</f>
        <v>709</v>
      </c>
      <c r="L6" s="1">
        <f>ROUND(K6*(1-Inputs!$B$11-Inputs!$B$10)+L5*(1-Inputs!$B$9),0)</f>
        <v>756</v>
      </c>
      <c r="M6" s="1">
        <f>ROUND(L6*(1-Inputs!$B$11-Inputs!$B$10)+M5*(1-Inputs!$B$9),0)</f>
        <v>804</v>
      </c>
      <c r="N6" s="1">
        <f>ROUND(M6*(1-Inputs!$B$11-Inputs!$B$10)+N5*(1-Inputs!$B$9),0)</f>
        <v>853</v>
      </c>
      <c r="O6" s="1">
        <f>ROUND(N6*(1-Inputs!$B$11-Inputs!$B$10)+O5*(1-Inputs!$B$9),0)</f>
        <v>904</v>
      </c>
      <c r="P6" s="1">
        <f>ROUND(O6*(1-Inputs!$B$11-Inputs!$B$10)+P5*(1-Inputs!$B$9),0)</f>
        <v>956</v>
      </c>
      <c r="Q6" s="1">
        <f>ROUND(P6*(1-Inputs!$B$11-Inputs!$B$10)+Q5*(1-Inputs!$B$9),0)</f>
        <v>1009</v>
      </c>
      <c r="R6" s="1">
        <f>ROUND(Q6*(1-Inputs!$B$11-Inputs!$B$10)+R5*(1-Inputs!$B$9),0)</f>
        <v>1064</v>
      </c>
      <c r="S6" s="1">
        <f>ROUND(R6*(1-Inputs!$B$11-Inputs!$B$10)+S5*(1-Inputs!$B$9),0)</f>
        <v>1121</v>
      </c>
      <c r="T6" s="1">
        <f>ROUND(S6*(1-Inputs!$B$11-Inputs!$B$10)+T5*(1-Inputs!$B$9),0)</f>
        <v>1181</v>
      </c>
      <c r="U6" s="1">
        <f>ROUND(T6*(1-Inputs!$B$11-Inputs!$B$10)+U5*(1-Inputs!$B$9),0)</f>
        <v>1243</v>
      </c>
      <c r="V6" s="1">
        <f>ROUND(U6*(1-Inputs!$B$11-Inputs!$B$10)+V5*(1-Inputs!$B$9),0)</f>
        <v>1307</v>
      </c>
      <c r="W6" s="1">
        <f>ROUND(V6*(1-Inputs!$B$11-Inputs!$B$10)+W5*(1-Inputs!$B$9),0)</f>
        <v>1375</v>
      </c>
      <c r="X6" s="1">
        <f>ROUND(W6*(1-Inputs!$B$11-Inputs!$B$10)+X5*(1-Inputs!$B$9),0)</f>
        <v>1446</v>
      </c>
      <c r="Y6" s="1">
        <f>ROUND(X6*(1-Inputs!$B$11-Inputs!$B$10)+Y5*(1-Inputs!$B$9),0)</f>
        <v>1520</v>
      </c>
      <c r="Z6" s="1">
        <f>ROUND(Y6*(1-Inputs!$B$11-Inputs!$B$10)+Z5*(1-Inputs!$B$9),0)</f>
        <v>1598</v>
      </c>
      <c r="AA6" s="1">
        <f>ROUND(Z6*(1-Inputs!$B$11-Inputs!$B$10)+AA5*(1-Inputs!$B$9),0)</f>
        <v>1679</v>
      </c>
      <c r="AB6" s="1">
        <f>ROUND(AA6*(1-Inputs!$B$11-Inputs!$B$10)+AB5*(1-Inputs!$B$9),0)</f>
        <v>1764</v>
      </c>
      <c r="AC6" s="1">
        <f>ROUND(AB6*(1-Inputs!$B$11-Inputs!$B$10)+AC5*(1-Inputs!$B$9),0)</f>
        <v>1853</v>
      </c>
      <c r="AD6" s="1">
        <f>ROUND(AC6*(1-Inputs!$B$11-Inputs!$B$10)+AD5*(1-Inputs!$B$9),0)</f>
        <v>1946</v>
      </c>
      <c r="AE6" s="1">
        <f>ROUND(AD6*(1-Inputs!$B$11-Inputs!$B$10)+AE5*(1-Inputs!$B$9),0)</f>
        <v>2044</v>
      </c>
      <c r="AF6" s="1">
        <f>ROUND(AE6*(1-Inputs!$B$11-Inputs!$B$10)+AF5*(1-Inputs!$B$9),0)</f>
        <v>2147</v>
      </c>
      <c r="AG6" s="1">
        <f>ROUND(AF6*(1-Inputs!$B$11-Inputs!$B$10)+AG5*(1-Inputs!$B$9),0)</f>
        <v>2255</v>
      </c>
      <c r="AH6" s="1">
        <f>ROUND(AG6*(1-Inputs!$B$11-Inputs!$B$10)+AH5*(1-Inputs!$B$9),0)</f>
        <v>2368</v>
      </c>
      <c r="AI6" s="1">
        <f>ROUND(AH6*(1-Inputs!$B$11-Inputs!$B$10)+AI5*(1-Inputs!$B$9),0)</f>
        <v>2486</v>
      </c>
      <c r="AJ6" s="1">
        <f>ROUND(AI6*(1-Inputs!$B$11-Inputs!$B$10)+AJ5*(1-Inputs!$B$9),0)</f>
        <v>2610</v>
      </c>
      <c r="AK6" s="1">
        <f>ROUND(AJ6*(1-Inputs!$B$11-Inputs!$B$10)+AK5*(1-Inputs!$B$9),0)</f>
        <v>2741</v>
      </c>
      <c r="AL6" s="1">
        <f t="shared" si="0"/>
        <v>45920</v>
      </c>
    </row>
    <row r="7" spans="1:38" x14ac:dyDescent="0.25">
      <c r="A7" s="1" t="s">
        <v>368</v>
      </c>
      <c r="B7" s="1">
        <f>ROUND((Inputs!$B$6*Inputs!$B$9)+B5*Inputs!$B$9,0)</f>
        <v>28</v>
      </c>
      <c r="C7" s="1">
        <f>ROUND(B7*(1-Inputs!$B$12)+B6*Inputs!$B$10+C5*Inputs!$B$9,0)</f>
        <v>42</v>
      </c>
      <c r="D7" s="1">
        <f>ROUND(C7*(1-Inputs!$B$12)+C6*Inputs!$B$10+D5*Inputs!$B$9,0)</f>
        <v>56</v>
      </c>
      <c r="E7" s="1">
        <f>ROUND(D7*(1-Inputs!$B$12)+D6*Inputs!$B$10+E5*Inputs!$B$9,0)</f>
        <v>71</v>
      </c>
      <c r="F7" s="1">
        <f>ROUND(E7*(1-Inputs!$B$12)+E6*Inputs!$B$10+F5*Inputs!$B$9,0)</f>
        <v>87</v>
      </c>
      <c r="G7" s="1">
        <f>ROUND(F7*(1-Inputs!$B$12)+F6*Inputs!$B$10+G5*Inputs!$B$9,0)</f>
        <v>103</v>
      </c>
      <c r="H7" s="1">
        <f>ROUND(G7*(1-Inputs!$B$12)+G6*Inputs!$B$10+H5*Inputs!$B$9,0)</f>
        <v>120</v>
      </c>
      <c r="I7" s="1">
        <f>ROUND(H7*(1-Inputs!$B$12)+H6*Inputs!$B$10+I5*Inputs!$B$9,0)</f>
        <v>137</v>
      </c>
      <c r="J7" s="1">
        <f>ROUND(I7*(1-Inputs!$B$12)+I6*Inputs!$B$10+J5*Inputs!$B$9,0)</f>
        <v>155</v>
      </c>
      <c r="K7" s="1">
        <f>ROUND(J7*(1-Inputs!$B$12)+J6*Inputs!$B$10+K5*Inputs!$B$9,0)</f>
        <v>173</v>
      </c>
      <c r="L7" s="1">
        <f>ROUND(K7*(1-Inputs!$B$12)+K6*Inputs!$B$10+L5*Inputs!$B$9,0)</f>
        <v>191</v>
      </c>
      <c r="M7" s="1">
        <f>ROUND(L7*(1-Inputs!$B$12)+L6*Inputs!$B$10+M5*Inputs!$B$9,0)</f>
        <v>210</v>
      </c>
      <c r="N7" s="1">
        <f>ROUND(M7*(1-Inputs!$B$12)+M6*Inputs!$B$10+N5*Inputs!$B$9,0)</f>
        <v>229</v>
      </c>
      <c r="O7" s="1">
        <f>ROUND(N7*(1-Inputs!$B$12)+N6*Inputs!$B$10+O5*Inputs!$B$9,0)</f>
        <v>249</v>
      </c>
      <c r="P7" s="1">
        <f>ROUND(O7*(1-Inputs!$B$12)+O6*Inputs!$B$10+P5*Inputs!$B$9,0)</f>
        <v>269</v>
      </c>
      <c r="Q7" s="1">
        <f>ROUND(P7*(1-Inputs!$B$12)+P6*Inputs!$B$10+Q5*Inputs!$B$9,0)</f>
        <v>290</v>
      </c>
      <c r="R7" s="1">
        <f>ROUND(Q7*(1-Inputs!$B$12)+Q6*Inputs!$B$10+R5*Inputs!$B$9,0)</f>
        <v>312</v>
      </c>
      <c r="S7" s="1">
        <f>ROUND(R7*(1-Inputs!$B$12)+R6*Inputs!$B$10+S5*Inputs!$B$9,0)</f>
        <v>334</v>
      </c>
      <c r="T7" s="1">
        <f>ROUND(S7*(1-Inputs!$B$12)+S6*Inputs!$B$10+T5*Inputs!$B$9,0)</f>
        <v>357</v>
      </c>
      <c r="U7" s="1">
        <f>ROUND(T7*(1-Inputs!$B$12)+T6*Inputs!$B$10+U5*Inputs!$B$9,0)</f>
        <v>381</v>
      </c>
      <c r="V7" s="1">
        <f>ROUND(U7*(1-Inputs!$B$12)+U6*Inputs!$B$10+V5*Inputs!$B$9,0)</f>
        <v>406</v>
      </c>
      <c r="W7" s="1">
        <f>ROUND(V7*(1-Inputs!$B$12)+V6*Inputs!$B$10+W5*Inputs!$B$9,0)</f>
        <v>432</v>
      </c>
      <c r="X7" s="1">
        <f>ROUND(W7*(1-Inputs!$B$12)+W6*Inputs!$B$10+X5*Inputs!$B$9,0)</f>
        <v>459</v>
      </c>
      <c r="Y7" s="1">
        <f>ROUND(X7*(1-Inputs!$B$12)+X6*Inputs!$B$10+Y5*Inputs!$B$9,0)</f>
        <v>486</v>
      </c>
      <c r="Z7" s="1">
        <f>ROUND(Y7*(1-Inputs!$B$12)+Y6*Inputs!$B$10+Z5*Inputs!$B$9,0)</f>
        <v>515</v>
      </c>
      <c r="AA7" s="1">
        <f>ROUND(Z7*(1-Inputs!$B$12)+Z6*Inputs!$B$10+AA5*Inputs!$B$9,0)</f>
        <v>545</v>
      </c>
      <c r="AB7" s="1">
        <f>ROUND(AA7*(1-Inputs!$B$12)+AA6*Inputs!$B$10+AB5*Inputs!$B$9,0)</f>
        <v>576</v>
      </c>
      <c r="AC7" s="1">
        <f>ROUND(AB7*(1-Inputs!$B$12)+AB6*Inputs!$B$10+AC5*Inputs!$B$9,0)</f>
        <v>608</v>
      </c>
      <c r="AD7" s="1">
        <f>ROUND(AC7*(1-Inputs!$B$12)+AC6*Inputs!$B$10+AD5*Inputs!$B$9,0)</f>
        <v>642</v>
      </c>
      <c r="AE7" s="1">
        <f>ROUND(AD7*(1-Inputs!$B$12)+AD6*Inputs!$B$10+AE5*Inputs!$B$9,0)</f>
        <v>677</v>
      </c>
      <c r="AF7" s="1">
        <f>ROUND(AE7*(1-Inputs!$B$12)+AE6*Inputs!$B$10+AF5*Inputs!$B$9,0)</f>
        <v>714</v>
      </c>
      <c r="AG7" s="1">
        <f>ROUND(AF7*(1-Inputs!$B$12)+AF6*Inputs!$B$10+AG5*Inputs!$B$9,0)</f>
        <v>752</v>
      </c>
      <c r="AH7" s="1">
        <f>ROUND(AG7*(1-Inputs!$B$12)+AG6*Inputs!$B$10+AH5*Inputs!$B$9,0)</f>
        <v>792</v>
      </c>
      <c r="AI7" s="1">
        <f>ROUND(AH7*(1-Inputs!$B$12)+AH6*Inputs!$B$10+AI5*Inputs!$B$9,0)</f>
        <v>834</v>
      </c>
      <c r="AJ7" s="1">
        <f>ROUND(AI7*(1-Inputs!$B$12)+AI6*Inputs!$B$10+AJ5*Inputs!$B$9,0)</f>
        <v>878</v>
      </c>
      <c r="AK7" s="1">
        <f>ROUND(AJ7*(1-Inputs!$B$12)+AJ6*Inputs!$B$10+AK5*Inputs!$B$9,0)</f>
        <v>924</v>
      </c>
      <c r="AL7" s="1">
        <f t="shared" si="0"/>
        <v>14034</v>
      </c>
    </row>
    <row r="8" spans="1:38" x14ac:dyDescent="0.25">
      <c r="A8" s="1" t="s">
        <v>369</v>
      </c>
      <c r="B8" s="1">
        <f>IF(1&gt;=Inputs!$B$30,Inputs!$B$31,0)</f>
        <v>0</v>
      </c>
      <c r="C8" s="1">
        <f>IF(2&gt;=Inputs!$B$30,ROUND(B8*(1-Inputs!$B$13)+IF(2=Inputs!$B$30,Inputs!$B$31,Inputs!$B$32),0),0)</f>
        <v>0</v>
      </c>
      <c r="D8" s="1">
        <f>IF(3&gt;=Inputs!$B$30,ROUND(C8*(1-Inputs!$B$13)+IF(3=Inputs!$B$30,Inputs!$B$31,Inputs!$B$32),0),0)</f>
        <v>2</v>
      </c>
      <c r="E8" s="1">
        <f>IF(4&gt;=Inputs!$B$30,ROUND(D8*(1-Inputs!$B$13)+IF(4=Inputs!$B$30,Inputs!$B$31,Inputs!$B$32),0),0)</f>
        <v>3</v>
      </c>
      <c r="F8" s="1">
        <f>IF(5&gt;=Inputs!$B$30,ROUND(E8*(1-Inputs!$B$13)+IF(5=Inputs!$B$30,Inputs!$B$31,Inputs!$B$32),0),0)</f>
        <v>4</v>
      </c>
      <c r="G8" s="1">
        <f>IF(6&gt;=Inputs!$B$30,ROUND(F8*(1-Inputs!$B$13)+IF(6=Inputs!$B$30,Inputs!$B$31,Inputs!$B$32),0),0)</f>
        <v>5</v>
      </c>
      <c r="H8" s="1">
        <f>IF(7&gt;=Inputs!$B$30,ROUND(G8*(1-Inputs!$B$13)+IF(7=Inputs!$B$30,Inputs!$B$31,Inputs!$B$32),0),0)</f>
        <v>6</v>
      </c>
      <c r="I8" s="1">
        <f>IF(8&gt;=Inputs!$B$30,ROUND(H8*(1-Inputs!$B$13)+IF(8=Inputs!$B$30,Inputs!$B$31,Inputs!$B$32),0),0)</f>
        <v>7</v>
      </c>
      <c r="J8" s="1">
        <f>IF(9&gt;=Inputs!$B$30,ROUND(I8*(1-Inputs!$B$13)+IF(9=Inputs!$B$30,Inputs!$B$31,Inputs!$B$32),0),0)</f>
        <v>8</v>
      </c>
      <c r="K8" s="1">
        <f>IF(10&gt;=Inputs!$B$30,ROUND(J8*(1-Inputs!$B$13)+IF(10=Inputs!$B$30,Inputs!$B$31,Inputs!$B$32),0),0)</f>
        <v>9</v>
      </c>
      <c r="L8" s="1">
        <f>IF(11&gt;=Inputs!$B$30,ROUND(K8*(1-Inputs!$B$13)+IF(11=Inputs!$B$30,Inputs!$B$31,Inputs!$B$32),0),0)</f>
        <v>10</v>
      </c>
      <c r="M8" s="1">
        <f>IF(12&gt;=Inputs!$B$30,ROUND(L8*(1-Inputs!$B$13)+IF(12=Inputs!$B$30,Inputs!$B$31,Inputs!$B$32),0),0)</f>
        <v>11</v>
      </c>
      <c r="N8" s="1">
        <f>IF(13&gt;=Inputs!$B$30,ROUND(M8*(1-Inputs!$B$13)+IF(13=Inputs!$B$30,Inputs!$B$31,Inputs!$B$32),0),0)</f>
        <v>12</v>
      </c>
      <c r="O8" s="1">
        <f>IF(14&gt;=Inputs!$B$30,ROUND(N8*(1-Inputs!$B$13)+IF(14=Inputs!$B$30,Inputs!$B$31,Inputs!$B$32),0),0)</f>
        <v>13</v>
      </c>
      <c r="P8" s="1">
        <f>IF(15&gt;=Inputs!$B$30,ROUND(O8*(1-Inputs!$B$13)+IF(15=Inputs!$B$30,Inputs!$B$31,Inputs!$B$32),0),0)</f>
        <v>14</v>
      </c>
      <c r="Q8" s="1">
        <f>IF(16&gt;=Inputs!$B$30,ROUND(P8*(1-Inputs!$B$13)+IF(16=Inputs!$B$30,Inputs!$B$31,Inputs!$B$32),0),0)</f>
        <v>15</v>
      </c>
      <c r="R8" s="1">
        <f>IF(17&gt;=Inputs!$B$30,ROUND(Q8*(1-Inputs!$B$13)+IF(17=Inputs!$B$30,Inputs!$B$31,Inputs!$B$32),0),0)</f>
        <v>16</v>
      </c>
      <c r="S8" s="1">
        <f>IF(18&gt;=Inputs!$B$30,ROUND(R8*(1-Inputs!$B$13)+IF(18=Inputs!$B$30,Inputs!$B$31,Inputs!$B$32),0),0)</f>
        <v>17</v>
      </c>
      <c r="T8" s="1">
        <f>IF(19&gt;=Inputs!$B$30,ROUND(S8*(1-Inputs!$B$13)+IF(19=Inputs!$B$30,Inputs!$B$31,Inputs!$B$32),0),0)</f>
        <v>17</v>
      </c>
      <c r="U8" s="1">
        <f>IF(20&gt;=Inputs!$B$30,ROUND(T8*(1-Inputs!$B$13)+IF(20=Inputs!$B$30,Inputs!$B$31,Inputs!$B$32),0),0)</f>
        <v>17</v>
      </c>
      <c r="V8" s="1">
        <f>IF(21&gt;=Inputs!$B$30,ROUND(U8*(1-Inputs!$B$13)+IF(21=Inputs!$B$30,Inputs!$B$31,Inputs!$B$32),0),0)</f>
        <v>17</v>
      </c>
      <c r="W8" s="1">
        <f>IF(22&gt;=Inputs!$B$30,ROUND(V8*(1-Inputs!$B$13)+IF(22=Inputs!$B$30,Inputs!$B$31,Inputs!$B$32),0),0)</f>
        <v>17</v>
      </c>
      <c r="X8" s="1">
        <f>IF(23&gt;=Inputs!$B$30,ROUND(W8*(1-Inputs!$B$13)+IF(23=Inputs!$B$30,Inputs!$B$31,Inputs!$B$32),0),0)</f>
        <v>17</v>
      </c>
      <c r="Y8" s="1">
        <f>IF(24&gt;=Inputs!$B$30,ROUND(X8*(1-Inputs!$B$13)+IF(24=Inputs!$B$30,Inputs!$B$31,Inputs!$B$32),0),0)</f>
        <v>17</v>
      </c>
      <c r="Z8" s="1">
        <f>IF(25&gt;=Inputs!$B$30,ROUND(Y8*(1-Inputs!$B$13)+IF(25=Inputs!$B$30,Inputs!$B$31,Inputs!$B$32),0),0)</f>
        <v>17</v>
      </c>
      <c r="AA8" s="1">
        <f>IF(26&gt;=Inputs!$B$30,ROUND(Z8*(1-Inputs!$B$13)+IF(26=Inputs!$B$30,Inputs!$B$31,Inputs!$B$32),0),0)</f>
        <v>17</v>
      </c>
      <c r="AB8" s="1">
        <f>IF(27&gt;=Inputs!$B$30,ROUND(AA8*(1-Inputs!$B$13)+IF(27=Inputs!$B$30,Inputs!$B$31,Inputs!$B$32),0),0)</f>
        <v>17</v>
      </c>
      <c r="AC8" s="1">
        <f>IF(28&gt;=Inputs!$B$30,ROUND(AB8*(1-Inputs!$B$13)+IF(28=Inputs!$B$30,Inputs!$B$31,Inputs!$B$32),0),0)</f>
        <v>17</v>
      </c>
      <c r="AD8" s="1">
        <f>IF(29&gt;=Inputs!$B$30,ROUND(AC8*(1-Inputs!$B$13)+IF(29=Inputs!$B$30,Inputs!$B$31,Inputs!$B$32),0),0)</f>
        <v>17</v>
      </c>
      <c r="AE8" s="1">
        <f>IF(30&gt;=Inputs!$B$30,ROUND(AD8*(1-Inputs!$B$13)+IF(30=Inputs!$B$30,Inputs!$B$31,Inputs!$B$32),0),0)</f>
        <v>17</v>
      </c>
      <c r="AF8" s="1">
        <f>IF(31&gt;=Inputs!$B$30,ROUND(AE8*(1-Inputs!$B$13)+IF(31=Inputs!$B$30,Inputs!$B$31,Inputs!$B$32),0),0)</f>
        <v>17</v>
      </c>
      <c r="AG8" s="1">
        <f>IF(32&gt;=Inputs!$B$30,ROUND(AF8*(1-Inputs!$B$13)+IF(32=Inputs!$B$30,Inputs!$B$31,Inputs!$B$32),0),0)</f>
        <v>17</v>
      </c>
      <c r="AH8" s="1">
        <f>IF(33&gt;=Inputs!$B$30,ROUND(AG8*(1-Inputs!$B$13)+IF(33=Inputs!$B$30,Inputs!$B$31,Inputs!$B$32),0),0)</f>
        <v>17</v>
      </c>
      <c r="AI8" s="1">
        <f>IF(34&gt;=Inputs!$B$30,ROUND(AH8*(1-Inputs!$B$13)+IF(34=Inputs!$B$30,Inputs!$B$31,Inputs!$B$32),0),0)</f>
        <v>17</v>
      </c>
      <c r="AJ8" s="1">
        <f>IF(35&gt;=Inputs!$B$30,ROUND(AI8*(1-Inputs!$B$13)+IF(35=Inputs!$B$30,Inputs!$B$31,Inputs!$B$32),0),0)</f>
        <v>17</v>
      </c>
      <c r="AK8" s="1">
        <f>IF(36&gt;=Inputs!$B$30,ROUND(AJ8*(1-Inputs!$B$13)+IF(36=Inputs!$B$30,Inputs!$B$31,Inputs!$B$32),0),0)</f>
        <v>17</v>
      </c>
      <c r="AL8" s="1">
        <f t="shared" si="0"/>
        <v>458</v>
      </c>
    </row>
    <row r="9" spans="1:38" x14ac:dyDescent="0.25">
      <c r="A9" s="1" t="s">
        <v>370</v>
      </c>
      <c r="B9" s="1">
        <f>IF(1&gt;=Inputs!$B$30,Inputs!$B$31,0)</f>
        <v>0</v>
      </c>
      <c r="C9" s="1">
        <f>IF(2=Inputs!$B$30,Inputs!$B$31,IF(2&gt;Inputs!$B$30,Inputs!$B$32,0))</f>
        <v>0</v>
      </c>
      <c r="D9" s="1">
        <f>IF(3=Inputs!$B$30,Inputs!$B$31,IF(3&gt;Inputs!$B$30,Inputs!$B$32,0))</f>
        <v>2</v>
      </c>
      <c r="E9" s="1">
        <f>IF(4=Inputs!$B$30,Inputs!$B$31,IF(4&gt;Inputs!$B$30,Inputs!$B$32,0))</f>
        <v>1</v>
      </c>
      <c r="F9" s="1">
        <f>IF(5=Inputs!$B$30,Inputs!$B$31,IF(5&gt;Inputs!$B$30,Inputs!$B$32,0))</f>
        <v>1</v>
      </c>
      <c r="G9" s="1">
        <f>IF(6=Inputs!$B$30,Inputs!$B$31,IF(6&gt;Inputs!$B$30,Inputs!$B$32,0))</f>
        <v>1</v>
      </c>
      <c r="H9" s="1">
        <f>IF(7=Inputs!$B$30,Inputs!$B$31,IF(7&gt;Inputs!$B$30,Inputs!$B$32,0))</f>
        <v>1</v>
      </c>
      <c r="I9" s="1">
        <f>IF(8=Inputs!$B$30,Inputs!$B$31,IF(8&gt;Inputs!$B$30,Inputs!$B$32,0))</f>
        <v>1</v>
      </c>
      <c r="J9" s="1">
        <f>IF(9=Inputs!$B$30,Inputs!$B$31,IF(9&gt;Inputs!$B$30,Inputs!$B$32,0))</f>
        <v>1</v>
      </c>
      <c r="K9" s="1">
        <f>IF(10=Inputs!$B$30,Inputs!$B$31,IF(10&gt;Inputs!$B$30,Inputs!$B$32,0))</f>
        <v>1</v>
      </c>
      <c r="L9" s="1">
        <f>IF(11=Inputs!$B$30,Inputs!$B$31,IF(11&gt;Inputs!$B$30,Inputs!$B$32,0))</f>
        <v>1</v>
      </c>
      <c r="M9" s="1">
        <f>IF(12=Inputs!$B$30,Inputs!$B$31,IF(12&gt;Inputs!$B$30,Inputs!$B$32,0))</f>
        <v>1</v>
      </c>
      <c r="N9" s="1">
        <f>IF(13=Inputs!$B$30,Inputs!$B$31,IF(13&gt;Inputs!$B$30,Inputs!$B$32,0))</f>
        <v>1</v>
      </c>
      <c r="O9" s="1">
        <f>IF(14=Inputs!$B$30,Inputs!$B$31,IF(14&gt;Inputs!$B$30,Inputs!$B$32,0))</f>
        <v>1</v>
      </c>
      <c r="P9" s="1">
        <f>IF(15=Inputs!$B$30,Inputs!$B$31,IF(15&gt;Inputs!$B$30,Inputs!$B$32,0))</f>
        <v>1</v>
      </c>
      <c r="Q9" s="1">
        <f>IF(16=Inputs!$B$30,Inputs!$B$31,IF(16&gt;Inputs!$B$30,Inputs!$B$32,0))</f>
        <v>1</v>
      </c>
      <c r="R9" s="1">
        <f>IF(17=Inputs!$B$30,Inputs!$B$31,IF(17&gt;Inputs!$B$30,Inputs!$B$32,0))</f>
        <v>1</v>
      </c>
      <c r="S9" s="1">
        <f>IF(18=Inputs!$B$30,Inputs!$B$31,IF(18&gt;Inputs!$B$30,Inputs!$B$32,0))</f>
        <v>1</v>
      </c>
      <c r="T9" s="1">
        <f>IF(19=Inputs!$B$30,Inputs!$B$31,IF(19&gt;Inputs!$B$30,Inputs!$B$32,0))</f>
        <v>1</v>
      </c>
      <c r="U9" s="1">
        <f>IF(20=Inputs!$B$30,Inputs!$B$31,IF(20&gt;Inputs!$B$30,Inputs!$B$32,0))</f>
        <v>1</v>
      </c>
      <c r="V9" s="1">
        <f>IF(21=Inputs!$B$30,Inputs!$B$31,IF(21&gt;Inputs!$B$30,Inputs!$B$32,0))</f>
        <v>1</v>
      </c>
      <c r="W9" s="1">
        <f>IF(22=Inputs!$B$30,Inputs!$B$31,IF(22&gt;Inputs!$B$30,Inputs!$B$32,0))</f>
        <v>1</v>
      </c>
      <c r="X9" s="1">
        <f>IF(23=Inputs!$B$30,Inputs!$B$31,IF(23&gt;Inputs!$B$30,Inputs!$B$32,0))</f>
        <v>1</v>
      </c>
      <c r="Y9" s="1">
        <f>IF(24=Inputs!$B$30,Inputs!$B$31,IF(24&gt;Inputs!$B$30,Inputs!$B$32,0))</f>
        <v>1</v>
      </c>
      <c r="Z9" s="1">
        <f>IF(25=Inputs!$B$30,Inputs!$B$31,IF(25&gt;Inputs!$B$30,Inputs!$B$32,0))</f>
        <v>1</v>
      </c>
      <c r="AA9" s="1">
        <f>IF(26=Inputs!$B$30,Inputs!$B$31,IF(26&gt;Inputs!$B$30,Inputs!$B$32,0))</f>
        <v>1</v>
      </c>
      <c r="AB9" s="1">
        <f>IF(27=Inputs!$B$30,Inputs!$B$31,IF(27&gt;Inputs!$B$30,Inputs!$B$32,0))</f>
        <v>1</v>
      </c>
      <c r="AC9" s="1">
        <f>IF(28=Inputs!$B$30,Inputs!$B$31,IF(28&gt;Inputs!$B$30,Inputs!$B$32,0))</f>
        <v>1</v>
      </c>
      <c r="AD9" s="1">
        <f>IF(29=Inputs!$B$30,Inputs!$B$31,IF(29&gt;Inputs!$B$30,Inputs!$B$32,0))</f>
        <v>1</v>
      </c>
      <c r="AE9" s="1">
        <f>IF(30=Inputs!$B$30,Inputs!$B$31,IF(30&gt;Inputs!$B$30,Inputs!$B$32,0))</f>
        <v>1</v>
      </c>
      <c r="AF9" s="1">
        <f>IF(31=Inputs!$B$30,Inputs!$B$31,IF(31&gt;Inputs!$B$30,Inputs!$B$32,0))</f>
        <v>1</v>
      </c>
      <c r="AG9" s="1">
        <f>IF(32=Inputs!$B$30,Inputs!$B$31,IF(32&gt;Inputs!$B$30,Inputs!$B$32,0))</f>
        <v>1</v>
      </c>
      <c r="AH9" s="1">
        <f>IF(33=Inputs!$B$30,Inputs!$B$31,IF(33&gt;Inputs!$B$30,Inputs!$B$32,0))</f>
        <v>1</v>
      </c>
      <c r="AI9" s="1">
        <f>IF(34=Inputs!$B$30,Inputs!$B$31,IF(34&gt;Inputs!$B$30,Inputs!$B$32,0))</f>
        <v>1</v>
      </c>
      <c r="AJ9" s="1">
        <f>IF(35=Inputs!$B$30,Inputs!$B$31,IF(35&gt;Inputs!$B$30,Inputs!$B$32,0))</f>
        <v>1</v>
      </c>
      <c r="AK9" s="1">
        <f>IF(36=Inputs!$B$30,Inputs!$B$31,IF(36&gt;Inputs!$B$30,Inputs!$B$32,0))</f>
        <v>1</v>
      </c>
      <c r="AL9" s="1">
        <f t="shared" si="0"/>
        <v>35</v>
      </c>
    </row>
    <row r="10" spans="1:38" x14ac:dyDescent="0.25">
      <c r="A10" s="2" t="s">
        <v>371</v>
      </c>
      <c r="B10" s="1">
        <f t="shared" ref="B10:AK10" si="1">B6+B7</f>
        <v>280</v>
      </c>
      <c r="C10" s="1">
        <f t="shared" si="1"/>
        <v>353</v>
      </c>
      <c r="D10" s="1">
        <f t="shared" si="1"/>
        <v>422</v>
      </c>
      <c r="E10" s="1">
        <f t="shared" si="1"/>
        <v>490</v>
      </c>
      <c r="F10" s="1">
        <f t="shared" si="1"/>
        <v>557</v>
      </c>
      <c r="G10" s="1">
        <f t="shared" si="1"/>
        <v>622</v>
      </c>
      <c r="H10" s="1">
        <f t="shared" si="1"/>
        <v>687</v>
      </c>
      <c r="I10" s="1">
        <f t="shared" si="1"/>
        <v>752</v>
      </c>
      <c r="J10" s="1">
        <f t="shared" si="1"/>
        <v>817</v>
      </c>
      <c r="K10" s="1">
        <f t="shared" si="1"/>
        <v>882</v>
      </c>
      <c r="L10" s="1">
        <f t="shared" si="1"/>
        <v>947</v>
      </c>
      <c r="M10" s="1">
        <f t="shared" si="1"/>
        <v>1014</v>
      </c>
      <c r="N10" s="1">
        <f t="shared" si="1"/>
        <v>1082</v>
      </c>
      <c r="O10" s="1">
        <f t="shared" si="1"/>
        <v>1153</v>
      </c>
      <c r="P10" s="1">
        <f t="shared" si="1"/>
        <v>1225</v>
      </c>
      <c r="Q10" s="1">
        <f t="shared" si="1"/>
        <v>1299</v>
      </c>
      <c r="R10" s="1">
        <f t="shared" si="1"/>
        <v>1376</v>
      </c>
      <c r="S10" s="1">
        <f t="shared" si="1"/>
        <v>1455</v>
      </c>
      <c r="T10" s="1">
        <f t="shared" si="1"/>
        <v>1538</v>
      </c>
      <c r="U10" s="1">
        <f t="shared" si="1"/>
        <v>1624</v>
      </c>
      <c r="V10" s="1">
        <f t="shared" si="1"/>
        <v>1713</v>
      </c>
      <c r="W10" s="1">
        <f t="shared" si="1"/>
        <v>1807</v>
      </c>
      <c r="X10" s="1">
        <f t="shared" si="1"/>
        <v>1905</v>
      </c>
      <c r="Y10" s="1">
        <f t="shared" si="1"/>
        <v>2006</v>
      </c>
      <c r="Z10" s="1">
        <f t="shared" si="1"/>
        <v>2113</v>
      </c>
      <c r="AA10" s="1">
        <f t="shared" si="1"/>
        <v>2224</v>
      </c>
      <c r="AB10" s="1">
        <f t="shared" si="1"/>
        <v>2340</v>
      </c>
      <c r="AC10" s="1">
        <f t="shared" si="1"/>
        <v>2461</v>
      </c>
      <c r="AD10" s="1">
        <f t="shared" si="1"/>
        <v>2588</v>
      </c>
      <c r="AE10" s="1">
        <f t="shared" si="1"/>
        <v>2721</v>
      </c>
      <c r="AF10" s="1">
        <f t="shared" si="1"/>
        <v>2861</v>
      </c>
      <c r="AG10" s="1">
        <f t="shared" si="1"/>
        <v>3007</v>
      </c>
      <c r="AH10" s="1">
        <f t="shared" si="1"/>
        <v>3160</v>
      </c>
      <c r="AI10" s="1">
        <f t="shared" si="1"/>
        <v>3320</v>
      </c>
      <c r="AJ10" s="1">
        <f t="shared" si="1"/>
        <v>3488</v>
      </c>
      <c r="AK10" s="1">
        <f t="shared" si="1"/>
        <v>3665</v>
      </c>
      <c r="AL10" s="1">
        <f t="shared" si="0"/>
        <v>59954</v>
      </c>
    </row>
    <row r="12" spans="1:38" x14ac:dyDescent="0.25">
      <c r="A12" s="66" t="s">
        <v>372</v>
      </c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8"/>
    </row>
    <row r="13" spans="1:38" x14ac:dyDescent="0.25">
      <c r="A13" s="1" t="s">
        <v>373</v>
      </c>
      <c r="B13" s="54">
        <f>B6*Inputs!$B$14*Inputs!$B$26*Inputs!$B$27</f>
        <v>2633400</v>
      </c>
      <c r="C13" s="54">
        <f>C6*Inputs!$B$14*Inputs!$B$26*Inputs!$B$27</f>
        <v>3249950</v>
      </c>
      <c r="D13" s="54">
        <f>D6*Inputs!$B$14*Inputs!$B$26*Inputs!$B$27</f>
        <v>3824700</v>
      </c>
      <c r="E13" s="54">
        <f>E6*Inputs!$B$14*Inputs!$B$26*Inputs!$B$27</f>
        <v>4378550</v>
      </c>
      <c r="F13" s="54">
        <f>F6*Inputs!$B$14*Inputs!$B$26*Inputs!$B$27</f>
        <v>4911500</v>
      </c>
      <c r="G13" s="54">
        <f>G6*Inputs!$B$14*Inputs!$B$26*Inputs!$B$27</f>
        <v>5423550</v>
      </c>
      <c r="H13" s="54">
        <f>H6*Inputs!$B$14*Inputs!$B$26*Inputs!$B$27</f>
        <v>5925150</v>
      </c>
      <c r="I13" s="54">
        <f>I6*Inputs!$B$14*Inputs!$B$26*Inputs!$B$27</f>
        <v>6426750</v>
      </c>
      <c r="J13" s="54">
        <f>J6*Inputs!$B$14*Inputs!$B$26*Inputs!$B$27</f>
        <v>6917900</v>
      </c>
      <c r="K13" s="54">
        <f>K6*Inputs!$B$14*Inputs!$B$26*Inputs!$B$27</f>
        <v>7409050</v>
      </c>
      <c r="L13" s="54">
        <f>L6*Inputs!$B$14*Inputs!$B$26*Inputs!$B$27</f>
        <v>7900200</v>
      </c>
      <c r="M13" s="54">
        <f>M6*Inputs!$B$14*Inputs!$B$26*Inputs!$B$27</f>
        <v>8401800</v>
      </c>
      <c r="N13" s="54">
        <f>N6*Inputs!$B$14*Inputs!$B$26*Inputs!$B$27</f>
        <v>8913850</v>
      </c>
      <c r="O13" s="54">
        <f>O6*Inputs!$B$14*Inputs!$B$26*Inputs!$B$27</f>
        <v>9446800</v>
      </c>
      <c r="P13" s="54">
        <f>P6*Inputs!$B$14*Inputs!$B$26*Inputs!$B$27</f>
        <v>9990200</v>
      </c>
      <c r="Q13" s="54">
        <f>Q6*Inputs!$B$14*Inputs!$B$26*Inputs!$B$27</f>
        <v>10544050</v>
      </c>
      <c r="R13" s="54">
        <f>R6*Inputs!$B$14*Inputs!$B$26*Inputs!$B$27</f>
        <v>11118800</v>
      </c>
      <c r="S13" s="54">
        <f>S6*Inputs!$B$14*Inputs!$B$26*Inputs!$B$27</f>
        <v>11714450</v>
      </c>
      <c r="T13" s="54">
        <f>T6*Inputs!$B$14*Inputs!$B$26*Inputs!$B$27</f>
        <v>12341450</v>
      </c>
      <c r="U13" s="54">
        <f>U6*Inputs!$B$14*Inputs!$B$26*Inputs!$B$27</f>
        <v>12989350</v>
      </c>
      <c r="V13" s="54">
        <f>V6*Inputs!$B$14*Inputs!$B$26*Inputs!$B$27</f>
        <v>13658150</v>
      </c>
      <c r="W13" s="54">
        <f>W6*Inputs!$B$14*Inputs!$B$26*Inputs!$B$27</f>
        <v>14368750</v>
      </c>
      <c r="X13" s="54">
        <f>X6*Inputs!$B$14*Inputs!$B$26*Inputs!$B$27</f>
        <v>15110700</v>
      </c>
      <c r="Y13" s="54">
        <f>Y6*Inputs!$B$14*Inputs!$B$26*Inputs!$B$27</f>
        <v>15884000</v>
      </c>
      <c r="Z13" s="54">
        <f>Z6*Inputs!$B$14*Inputs!$B$26*Inputs!$B$27</f>
        <v>16699100</v>
      </c>
      <c r="AA13" s="54">
        <f>AA6*Inputs!$B$14*Inputs!$B$26*Inputs!$B$27</f>
        <v>17545550</v>
      </c>
      <c r="AB13" s="54">
        <f>AB6*Inputs!$B$14*Inputs!$B$26*Inputs!$B$27</f>
        <v>18433800</v>
      </c>
      <c r="AC13" s="54">
        <f>AC6*Inputs!$B$14*Inputs!$B$26*Inputs!$B$27</f>
        <v>19363850</v>
      </c>
      <c r="AD13" s="54">
        <f>AD6*Inputs!$B$14*Inputs!$B$26*Inputs!$B$27</f>
        <v>20335700</v>
      </c>
      <c r="AE13" s="54">
        <f>AE6*Inputs!$B$14*Inputs!$B$26*Inputs!$B$27</f>
        <v>21359800</v>
      </c>
      <c r="AF13" s="54">
        <f>AF6*Inputs!$B$14*Inputs!$B$26*Inputs!$B$27</f>
        <v>22436150</v>
      </c>
      <c r="AG13" s="54">
        <f>AG6*Inputs!$B$14*Inputs!$B$26*Inputs!$B$27</f>
        <v>23564750</v>
      </c>
      <c r="AH13" s="54">
        <f>AH6*Inputs!$B$14*Inputs!$B$26*Inputs!$B$27</f>
        <v>24745600</v>
      </c>
      <c r="AI13" s="54">
        <f>AI6*Inputs!$B$14*Inputs!$B$26*Inputs!$B$27</f>
        <v>25978700</v>
      </c>
      <c r="AJ13" s="54">
        <f>AJ6*Inputs!$B$14*Inputs!$B$26*Inputs!$B$27</f>
        <v>27274500</v>
      </c>
      <c r="AK13" s="54">
        <f>AK6*Inputs!$B$14*Inputs!$B$26*Inputs!$B$27</f>
        <v>28643450</v>
      </c>
      <c r="AL13" s="54">
        <f>SUM(B13:AK13)</f>
        <v>479864000</v>
      </c>
    </row>
    <row r="14" spans="1:38" x14ac:dyDescent="0.25">
      <c r="A14" s="1" t="s">
        <v>374</v>
      </c>
      <c r="B14" s="54">
        <f>B7*Inputs!$B$15*Inputs!$B$26*Inputs!$B$27</f>
        <v>1170400</v>
      </c>
      <c r="C14" s="54">
        <f>C7*Inputs!$B$15*Inputs!$B$26*Inputs!$B$27</f>
        <v>1755600</v>
      </c>
      <c r="D14" s="54">
        <f>D7*Inputs!$B$15*Inputs!$B$26*Inputs!$B$27</f>
        <v>2340800</v>
      </c>
      <c r="E14" s="54">
        <f>E7*Inputs!$B$15*Inputs!$B$26*Inputs!$B$27</f>
        <v>2967800</v>
      </c>
      <c r="F14" s="54">
        <f>F7*Inputs!$B$15*Inputs!$B$26*Inputs!$B$27</f>
        <v>3636600</v>
      </c>
      <c r="G14" s="54">
        <f>G7*Inputs!$B$15*Inputs!$B$26*Inputs!$B$27</f>
        <v>4305400</v>
      </c>
      <c r="H14" s="54">
        <f>H7*Inputs!$B$15*Inputs!$B$26*Inputs!$B$27</f>
        <v>5016000</v>
      </c>
      <c r="I14" s="54">
        <f>I7*Inputs!$B$15*Inputs!$B$26*Inputs!$B$27</f>
        <v>5726600</v>
      </c>
      <c r="J14" s="54">
        <f>J7*Inputs!$B$15*Inputs!$B$26*Inputs!$B$27</f>
        <v>6479000</v>
      </c>
      <c r="K14" s="54">
        <f>K7*Inputs!$B$15*Inputs!$B$26*Inputs!$B$27</f>
        <v>7231400</v>
      </c>
      <c r="L14" s="54">
        <f>L7*Inputs!$B$15*Inputs!$B$26*Inputs!$B$27</f>
        <v>7983800</v>
      </c>
      <c r="M14" s="54">
        <f>M7*Inputs!$B$15*Inputs!$B$26*Inputs!$B$27</f>
        <v>8778000</v>
      </c>
      <c r="N14" s="54">
        <f>N7*Inputs!$B$15*Inputs!$B$26*Inputs!$B$27</f>
        <v>9572200</v>
      </c>
      <c r="O14" s="54">
        <f>O7*Inputs!$B$15*Inputs!$B$26*Inputs!$B$27</f>
        <v>10408200</v>
      </c>
      <c r="P14" s="54">
        <f>P7*Inputs!$B$15*Inputs!$B$26*Inputs!$B$27</f>
        <v>11244200</v>
      </c>
      <c r="Q14" s="54">
        <f>Q7*Inputs!$B$15*Inputs!$B$26*Inputs!$B$27</f>
        <v>12122000</v>
      </c>
      <c r="R14" s="54">
        <f>R7*Inputs!$B$15*Inputs!$B$26*Inputs!$B$27</f>
        <v>13041600</v>
      </c>
      <c r="S14" s="54">
        <f>S7*Inputs!$B$15*Inputs!$B$26*Inputs!$B$27</f>
        <v>13961200</v>
      </c>
      <c r="T14" s="54">
        <f>T7*Inputs!$B$15*Inputs!$B$26*Inputs!$B$27</f>
        <v>14922600</v>
      </c>
      <c r="U14" s="54">
        <f>U7*Inputs!$B$15*Inputs!$B$26*Inputs!$B$27</f>
        <v>15925800</v>
      </c>
      <c r="V14" s="54">
        <f>V7*Inputs!$B$15*Inputs!$B$26*Inputs!$B$27</f>
        <v>16970800</v>
      </c>
      <c r="W14" s="54">
        <f>W7*Inputs!$B$15*Inputs!$B$26*Inputs!$B$27</f>
        <v>18057600</v>
      </c>
      <c r="X14" s="54">
        <f>X7*Inputs!$B$15*Inputs!$B$26*Inputs!$B$27</f>
        <v>19186200</v>
      </c>
      <c r="Y14" s="54">
        <f>Y7*Inputs!$B$15*Inputs!$B$26*Inputs!$B$27</f>
        <v>20314800</v>
      </c>
      <c r="Z14" s="54">
        <f>Z7*Inputs!$B$15*Inputs!$B$26*Inputs!$B$27</f>
        <v>21527000</v>
      </c>
      <c r="AA14" s="54">
        <f>AA7*Inputs!$B$15*Inputs!$B$26*Inputs!$B$27</f>
        <v>22781000</v>
      </c>
      <c r="AB14" s="54">
        <f>AB7*Inputs!$B$15*Inputs!$B$26*Inputs!$B$27</f>
        <v>24076800</v>
      </c>
      <c r="AC14" s="54">
        <f>AC7*Inputs!$B$15*Inputs!$B$26*Inputs!$B$27</f>
        <v>25414400</v>
      </c>
      <c r="AD14" s="54">
        <f>AD7*Inputs!$B$15*Inputs!$B$26*Inputs!$B$27</f>
        <v>26835600</v>
      </c>
      <c r="AE14" s="54">
        <f>AE7*Inputs!$B$15*Inputs!$B$26*Inputs!$B$27</f>
        <v>28298600</v>
      </c>
      <c r="AF14" s="54">
        <f>AF7*Inputs!$B$15*Inputs!$B$26*Inputs!$B$27</f>
        <v>29845200</v>
      </c>
      <c r="AG14" s="54">
        <f>AG7*Inputs!$B$15*Inputs!$B$26*Inputs!$B$27</f>
        <v>31433600</v>
      </c>
      <c r="AH14" s="54">
        <f>AH7*Inputs!$B$15*Inputs!$B$26*Inputs!$B$27</f>
        <v>33105600</v>
      </c>
      <c r="AI14" s="54">
        <f>AI7*Inputs!$B$15*Inputs!$B$26*Inputs!$B$27</f>
        <v>34861200</v>
      </c>
      <c r="AJ14" s="54">
        <f>AJ7*Inputs!$B$15*Inputs!$B$26*Inputs!$B$27</f>
        <v>36700400</v>
      </c>
      <c r="AK14" s="54">
        <f>AK7*Inputs!$B$15*Inputs!$B$26*Inputs!$B$27</f>
        <v>38623200</v>
      </c>
      <c r="AL14" s="54">
        <f>SUM(B14:AK14)</f>
        <v>586621200</v>
      </c>
    </row>
    <row r="15" spans="1:38" x14ac:dyDescent="0.25">
      <c r="A15" s="1" t="s">
        <v>375</v>
      </c>
      <c r="B15" s="54">
        <f>B7*Inputs!$B$25</f>
        <v>921200</v>
      </c>
      <c r="C15" s="54">
        <f>C7*Inputs!$B$25</f>
        <v>1381800</v>
      </c>
      <c r="D15" s="54">
        <f>D7*Inputs!$B$25</f>
        <v>1842400</v>
      </c>
      <c r="E15" s="54">
        <f>E7*Inputs!$B$25</f>
        <v>2335900</v>
      </c>
      <c r="F15" s="54">
        <f>F7*Inputs!$B$25</f>
        <v>2862300</v>
      </c>
      <c r="G15" s="54">
        <f>G7*Inputs!$B$25</f>
        <v>3388700</v>
      </c>
      <c r="H15" s="54">
        <f>H7*Inputs!$B$25</f>
        <v>3948000</v>
      </c>
      <c r="I15" s="54">
        <f>I7*Inputs!$B$25</f>
        <v>4507300</v>
      </c>
      <c r="J15" s="54">
        <f>J7*Inputs!$B$25</f>
        <v>5099500</v>
      </c>
      <c r="K15" s="54">
        <f>K7*Inputs!$B$25</f>
        <v>5691700</v>
      </c>
      <c r="L15" s="54">
        <f>L7*Inputs!$B$25</f>
        <v>6283900</v>
      </c>
      <c r="M15" s="54">
        <f>M7*Inputs!$B$25</f>
        <v>6909000</v>
      </c>
      <c r="N15" s="54">
        <f>N7*Inputs!$B$25</f>
        <v>7534100</v>
      </c>
      <c r="O15" s="54">
        <f>O7*Inputs!$B$25</f>
        <v>8192100</v>
      </c>
      <c r="P15" s="54">
        <f>P7*Inputs!$B$25</f>
        <v>8850100</v>
      </c>
      <c r="Q15" s="54">
        <f>Q7*Inputs!$B$25</f>
        <v>9541000</v>
      </c>
      <c r="R15" s="54">
        <f>R7*Inputs!$B$25</f>
        <v>10264800</v>
      </c>
      <c r="S15" s="54">
        <f>S7*Inputs!$B$25</f>
        <v>10988600</v>
      </c>
      <c r="T15" s="54">
        <f>T7*Inputs!$B$25</f>
        <v>11745300</v>
      </c>
      <c r="U15" s="54">
        <f>U7*Inputs!$B$25</f>
        <v>12534900</v>
      </c>
      <c r="V15" s="54">
        <f>V7*Inputs!$B$25</f>
        <v>13357400</v>
      </c>
      <c r="W15" s="54">
        <f>W7*Inputs!$B$25</f>
        <v>14212800</v>
      </c>
      <c r="X15" s="54">
        <f>X7*Inputs!$B$25</f>
        <v>15101100</v>
      </c>
      <c r="Y15" s="54">
        <f>Y7*Inputs!$B$25</f>
        <v>15989400</v>
      </c>
      <c r="Z15" s="54">
        <f>Z7*Inputs!$B$25</f>
        <v>16943500</v>
      </c>
      <c r="AA15" s="54">
        <f>AA7*Inputs!$B$25</f>
        <v>17930500</v>
      </c>
      <c r="AB15" s="54">
        <f>AB7*Inputs!$B$25</f>
        <v>18950400</v>
      </c>
      <c r="AC15" s="54">
        <f>AC7*Inputs!$B$25</f>
        <v>20003200</v>
      </c>
      <c r="AD15" s="54">
        <f>AD7*Inputs!$B$25</f>
        <v>21121800</v>
      </c>
      <c r="AE15" s="54">
        <f>AE7*Inputs!$B$25</f>
        <v>22273300</v>
      </c>
      <c r="AF15" s="54">
        <f>AF7*Inputs!$B$25</f>
        <v>23490600</v>
      </c>
      <c r="AG15" s="54">
        <f>AG7*Inputs!$B$25</f>
        <v>24740800</v>
      </c>
      <c r="AH15" s="54">
        <f>AH7*Inputs!$B$25</f>
        <v>26056800</v>
      </c>
      <c r="AI15" s="54">
        <f>AI7*Inputs!$B$25</f>
        <v>27438600</v>
      </c>
      <c r="AJ15" s="54">
        <f>AJ7*Inputs!$B$25</f>
        <v>28886200</v>
      </c>
      <c r="AK15" s="54">
        <f>AK7*Inputs!$B$25</f>
        <v>30399600</v>
      </c>
      <c r="AL15" s="54">
        <f>SUM(B15:AK15)</f>
        <v>461718600</v>
      </c>
    </row>
    <row r="16" spans="1:38" x14ac:dyDescent="0.25">
      <c r="A16" s="1" t="s">
        <v>376</v>
      </c>
      <c r="B16" s="54">
        <f>B8*Inputs!$B$29</f>
        <v>0</v>
      </c>
      <c r="C16" s="54">
        <f>C8*Inputs!$B$29</f>
        <v>0</v>
      </c>
      <c r="D16" s="54">
        <f>D8*Inputs!$B$29</f>
        <v>1400000</v>
      </c>
      <c r="E16" s="54">
        <f>E8*Inputs!$B$29</f>
        <v>2100000</v>
      </c>
      <c r="F16" s="54">
        <f>F8*Inputs!$B$29</f>
        <v>2800000</v>
      </c>
      <c r="G16" s="54">
        <f>G8*Inputs!$B$29</f>
        <v>3500000</v>
      </c>
      <c r="H16" s="54">
        <f>H8*Inputs!$B$29</f>
        <v>4200000</v>
      </c>
      <c r="I16" s="54">
        <f>I8*Inputs!$B$29</f>
        <v>4900000</v>
      </c>
      <c r="J16" s="54">
        <f>J8*Inputs!$B$29</f>
        <v>5600000</v>
      </c>
      <c r="K16" s="54">
        <f>K8*Inputs!$B$29</f>
        <v>6300000</v>
      </c>
      <c r="L16" s="54">
        <f>L8*Inputs!$B$29</f>
        <v>7000000</v>
      </c>
      <c r="M16" s="54">
        <f>M8*Inputs!$B$29</f>
        <v>7700000</v>
      </c>
      <c r="N16" s="54">
        <f>N8*Inputs!$B$29</f>
        <v>8400000</v>
      </c>
      <c r="O16" s="54">
        <f>O8*Inputs!$B$29</f>
        <v>9100000</v>
      </c>
      <c r="P16" s="54">
        <f>P8*Inputs!$B$29</f>
        <v>9800000</v>
      </c>
      <c r="Q16" s="54">
        <f>Q8*Inputs!$B$29</f>
        <v>10500000</v>
      </c>
      <c r="R16" s="54">
        <f>R8*Inputs!$B$29</f>
        <v>11200000</v>
      </c>
      <c r="S16" s="54">
        <f>S8*Inputs!$B$29</f>
        <v>11900000</v>
      </c>
      <c r="T16" s="54">
        <f>T8*Inputs!$B$29</f>
        <v>11900000</v>
      </c>
      <c r="U16" s="54">
        <f>U8*Inputs!$B$29</f>
        <v>11900000</v>
      </c>
      <c r="V16" s="54">
        <f>V8*Inputs!$B$29</f>
        <v>11900000</v>
      </c>
      <c r="W16" s="54">
        <f>W8*Inputs!$B$29</f>
        <v>11900000</v>
      </c>
      <c r="X16" s="54">
        <f>X8*Inputs!$B$29</f>
        <v>11900000</v>
      </c>
      <c r="Y16" s="54">
        <f>Y8*Inputs!$B$29</f>
        <v>11900000</v>
      </c>
      <c r="Z16" s="54">
        <f>Z8*Inputs!$B$29</f>
        <v>11900000</v>
      </c>
      <c r="AA16" s="54">
        <f>AA8*Inputs!$B$29</f>
        <v>11900000</v>
      </c>
      <c r="AB16" s="54">
        <f>AB8*Inputs!$B$29</f>
        <v>11900000</v>
      </c>
      <c r="AC16" s="54">
        <f>AC8*Inputs!$B$29</f>
        <v>11900000</v>
      </c>
      <c r="AD16" s="54">
        <f>AD8*Inputs!$B$29</f>
        <v>11900000</v>
      </c>
      <c r="AE16" s="54">
        <f>AE8*Inputs!$B$29</f>
        <v>11900000</v>
      </c>
      <c r="AF16" s="54">
        <f>AF8*Inputs!$B$29</f>
        <v>11900000</v>
      </c>
      <c r="AG16" s="54">
        <f>AG8*Inputs!$B$29</f>
        <v>11900000</v>
      </c>
      <c r="AH16" s="54">
        <f>AH8*Inputs!$B$29</f>
        <v>11900000</v>
      </c>
      <c r="AI16" s="54">
        <f>AI8*Inputs!$B$29</f>
        <v>11900000</v>
      </c>
      <c r="AJ16" s="54">
        <f>AJ8*Inputs!$B$29</f>
        <v>11900000</v>
      </c>
      <c r="AK16" s="54">
        <f>AK8*Inputs!$B$29</f>
        <v>11900000</v>
      </c>
      <c r="AL16" s="54">
        <f>SUM(B16:AK16)</f>
        <v>320600000</v>
      </c>
    </row>
    <row r="17" spans="1:38" x14ac:dyDescent="0.25">
      <c r="A17" s="2" t="s">
        <v>377</v>
      </c>
      <c r="B17" s="54">
        <f t="shared" ref="B17:AK17" si="2">SUM(B13:B16)</f>
        <v>4725000</v>
      </c>
      <c r="C17" s="54">
        <f t="shared" si="2"/>
        <v>6387350</v>
      </c>
      <c r="D17" s="54">
        <f t="shared" si="2"/>
        <v>9407900</v>
      </c>
      <c r="E17" s="54">
        <f t="shared" si="2"/>
        <v>11782250</v>
      </c>
      <c r="F17" s="54">
        <f t="shared" si="2"/>
        <v>14210400</v>
      </c>
      <c r="G17" s="54">
        <f t="shared" si="2"/>
        <v>16617650</v>
      </c>
      <c r="H17" s="54">
        <f t="shared" si="2"/>
        <v>19089150</v>
      </c>
      <c r="I17" s="54">
        <f t="shared" si="2"/>
        <v>21560650</v>
      </c>
      <c r="J17" s="54">
        <f t="shared" si="2"/>
        <v>24096400</v>
      </c>
      <c r="K17" s="54">
        <f t="shared" si="2"/>
        <v>26632150</v>
      </c>
      <c r="L17" s="54">
        <f t="shared" si="2"/>
        <v>29167900</v>
      </c>
      <c r="M17" s="54">
        <f t="shared" si="2"/>
        <v>31788800</v>
      </c>
      <c r="N17" s="54">
        <f t="shared" si="2"/>
        <v>34420150</v>
      </c>
      <c r="O17" s="54">
        <f t="shared" si="2"/>
        <v>37147100</v>
      </c>
      <c r="P17" s="54">
        <f t="shared" si="2"/>
        <v>39884500</v>
      </c>
      <c r="Q17" s="54">
        <f t="shared" si="2"/>
        <v>42707050</v>
      </c>
      <c r="R17" s="54">
        <f t="shared" si="2"/>
        <v>45625200</v>
      </c>
      <c r="S17" s="54">
        <f t="shared" si="2"/>
        <v>48564250</v>
      </c>
      <c r="T17" s="54">
        <f t="shared" si="2"/>
        <v>50909350</v>
      </c>
      <c r="U17" s="54">
        <f t="shared" si="2"/>
        <v>53350050</v>
      </c>
      <c r="V17" s="54">
        <f t="shared" si="2"/>
        <v>55886350</v>
      </c>
      <c r="W17" s="54">
        <f t="shared" si="2"/>
        <v>58539150</v>
      </c>
      <c r="X17" s="54">
        <f t="shared" si="2"/>
        <v>61298000</v>
      </c>
      <c r="Y17" s="54">
        <f t="shared" si="2"/>
        <v>64088200</v>
      </c>
      <c r="Z17" s="54">
        <f t="shared" si="2"/>
        <v>67069600</v>
      </c>
      <c r="AA17" s="54">
        <f t="shared" si="2"/>
        <v>70157050</v>
      </c>
      <c r="AB17" s="54">
        <f t="shared" si="2"/>
        <v>73361000</v>
      </c>
      <c r="AC17" s="54">
        <f t="shared" si="2"/>
        <v>76681450</v>
      </c>
      <c r="AD17" s="54">
        <f t="shared" si="2"/>
        <v>80193100</v>
      </c>
      <c r="AE17" s="54">
        <f t="shared" si="2"/>
        <v>83831700</v>
      </c>
      <c r="AF17" s="54">
        <f t="shared" si="2"/>
        <v>87671950</v>
      </c>
      <c r="AG17" s="54">
        <f t="shared" si="2"/>
        <v>91639150</v>
      </c>
      <c r="AH17" s="54">
        <f t="shared" si="2"/>
        <v>95808000</v>
      </c>
      <c r="AI17" s="54">
        <f t="shared" si="2"/>
        <v>100178500</v>
      </c>
      <c r="AJ17" s="54">
        <f t="shared" si="2"/>
        <v>104761100</v>
      </c>
      <c r="AK17" s="54">
        <f t="shared" si="2"/>
        <v>109566250</v>
      </c>
      <c r="AL17" s="54">
        <f>SUM(B17:AK17)</f>
        <v>1848803800</v>
      </c>
    </row>
    <row r="19" spans="1:38" x14ac:dyDescent="0.25">
      <c r="A19" s="66" t="s">
        <v>378</v>
      </c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8"/>
    </row>
    <row r="20" spans="1:38" x14ac:dyDescent="0.25">
      <c r="A20" s="1" t="s">
        <v>379</v>
      </c>
      <c r="B20" s="54">
        <f>(B6*Inputs!$B$14+B7*Inputs!$B$15)*Inputs!$B$28</f>
        <v>1960140</v>
      </c>
      <c r="C20" s="54">
        <f>(C6*Inputs!$B$14+C7*Inputs!$B$15)*Inputs!$B$28</f>
        <v>2579415</v>
      </c>
      <c r="D20" s="54">
        <f>(D6*Inputs!$B$14+D7*Inputs!$B$15)*Inputs!$B$28</f>
        <v>3177150</v>
      </c>
      <c r="E20" s="54">
        <f>(E6*Inputs!$B$14+E7*Inputs!$B$15)*Inputs!$B$28</f>
        <v>3785655</v>
      </c>
      <c r="F20" s="54">
        <f>(F6*Inputs!$B$14+F7*Inputs!$B$15)*Inputs!$B$28</f>
        <v>4404930</v>
      </c>
      <c r="G20" s="54">
        <f>(G6*Inputs!$B$14+G7*Inputs!$B$15)*Inputs!$B$28</f>
        <v>5013435</v>
      </c>
      <c r="H20" s="54">
        <f>(H6*Inputs!$B$14+H7*Inputs!$B$15)*Inputs!$B$28</f>
        <v>5638095</v>
      </c>
      <c r="I20" s="54">
        <f>(I6*Inputs!$B$14+I7*Inputs!$B$15)*Inputs!$B$28</f>
        <v>6262755</v>
      </c>
      <c r="J20" s="54">
        <f>(J6*Inputs!$B$14+J7*Inputs!$B$15)*Inputs!$B$28</f>
        <v>6903570</v>
      </c>
      <c r="K20" s="54">
        <f>(K6*Inputs!$B$14+K7*Inputs!$B$15)*Inputs!$B$28</f>
        <v>7544385</v>
      </c>
      <c r="L20" s="54">
        <f>(L6*Inputs!$B$14+L7*Inputs!$B$15)*Inputs!$B$28</f>
        <v>8185200</v>
      </c>
      <c r="M20" s="54">
        <f>(M6*Inputs!$B$14+M7*Inputs!$B$15)*Inputs!$B$28</f>
        <v>8852940</v>
      </c>
      <c r="N20" s="54">
        <f>(N6*Inputs!$B$14+N7*Inputs!$B$15)*Inputs!$B$28</f>
        <v>9526065</v>
      </c>
      <c r="O20" s="54">
        <f>(O6*Inputs!$B$14+O7*Inputs!$B$15)*Inputs!$B$28</f>
        <v>10231500</v>
      </c>
      <c r="P20" s="54">
        <f>(P6*Inputs!$B$14+P7*Inputs!$B$15)*Inputs!$B$28</f>
        <v>10942320</v>
      </c>
      <c r="Q20" s="54">
        <f>(Q6*Inputs!$B$14+Q7*Inputs!$B$15)*Inputs!$B$28</f>
        <v>11680065</v>
      </c>
      <c r="R20" s="54">
        <f>(R6*Inputs!$B$14+R7*Inputs!$B$15)*Inputs!$B$28</f>
        <v>12450120</v>
      </c>
      <c r="S20" s="54">
        <f>(S6*Inputs!$B$14+S7*Inputs!$B$15)*Inputs!$B$28</f>
        <v>13230945</v>
      </c>
      <c r="T20" s="54">
        <f>(T6*Inputs!$B$14+T7*Inputs!$B$15)*Inputs!$B$28</f>
        <v>14049465</v>
      </c>
      <c r="U20" s="54">
        <f>(U6*Inputs!$B$14+U7*Inputs!$B$15)*Inputs!$B$28</f>
        <v>14900295</v>
      </c>
      <c r="V20" s="54">
        <f>(V6*Inputs!$B$14+V7*Inputs!$B$15)*Inputs!$B$28</f>
        <v>15783435</v>
      </c>
      <c r="W20" s="54">
        <f>(W6*Inputs!$B$14+W7*Inputs!$B$15)*Inputs!$B$28</f>
        <v>16709655</v>
      </c>
      <c r="X20" s="54">
        <f>(X6*Inputs!$B$14+X7*Inputs!$B$15)*Inputs!$B$28</f>
        <v>17673570</v>
      </c>
      <c r="Y20" s="54">
        <f>(Y6*Inputs!$B$14+Y7*Inputs!$B$15)*Inputs!$B$28</f>
        <v>18653640</v>
      </c>
      <c r="Z20" s="54">
        <f>(Z6*Inputs!$B$14+Z7*Inputs!$B$15)*Inputs!$B$28</f>
        <v>19698330</v>
      </c>
      <c r="AA20" s="54">
        <f>(AA6*Inputs!$B$14+AA7*Inputs!$B$15)*Inputs!$B$28</f>
        <v>20780715</v>
      </c>
      <c r="AB20" s="54">
        <f>(AB6*Inputs!$B$14+AB7*Inputs!$B$15)*Inputs!$B$28</f>
        <v>21906180</v>
      </c>
      <c r="AC20" s="54">
        <f>(AC6*Inputs!$B$14+AC7*Inputs!$B$15)*Inputs!$B$28</f>
        <v>23074725</v>
      </c>
      <c r="AD20" s="54">
        <f>(AD6*Inputs!$B$14+AD7*Inputs!$B$15)*Inputs!$B$28</f>
        <v>24307890</v>
      </c>
      <c r="AE20" s="54">
        <f>(AE6*Inputs!$B$14+AE7*Inputs!$B$15)*Inputs!$B$28</f>
        <v>25589520</v>
      </c>
      <c r="AF20" s="54">
        <f>(AF6*Inputs!$B$14+AF7*Inputs!$B$15)*Inputs!$B$28</f>
        <v>26941155</v>
      </c>
      <c r="AG20" s="54">
        <f>(AG6*Inputs!$B$14+AG7*Inputs!$B$15)*Inputs!$B$28</f>
        <v>28341255</v>
      </c>
      <c r="AH20" s="54">
        <f>(AH6*Inputs!$B$14+AH7*Inputs!$B$15)*Inputs!$B$28</f>
        <v>29811360</v>
      </c>
      <c r="AI20" s="54">
        <f>(AI6*Inputs!$B$14+AI7*Inputs!$B$15)*Inputs!$B$28</f>
        <v>31351470</v>
      </c>
      <c r="AJ20" s="54">
        <f>(AJ6*Inputs!$B$14+AJ7*Inputs!$B$15)*Inputs!$B$28</f>
        <v>32966970</v>
      </c>
      <c r="AK20" s="54">
        <f>(AK6*Inputs!$B$14+AK7*Inputs!$B$15)*Inputs!$B$28</f>
        <v>34663245</v>
      </c>
      <c r="AL20" s="54">
        <f>SUM(B20:AK20)</f>
        <v>549571560</v>
      </c>
    </row>
    <row r="21" spans="1:38" x14ac:dyDescent="0.25">
      <c r="A21" s="1" t="s">
        <v>380</v>
      </c>
      <c r="B21" s="54">
        <f>(B6*Inputs!$B$18+B7*Inputs!$B$19)*Inputs!$B$20</f>
        <v>21280</v>
      </c>
      <c r="C21" s="54">
        <f>(C6*Inputs!$B$18+C7*Inputs!$B$19)*Inputs!$B$20</f>
        <v>29240</v>
      </c>
      <c r="D21" s="54">
        <f>(D6*Inputs!$B$18+D7*Inputs!$B$19)*Inputs!$B$20</f>
        <v>37040</v>
      </c>
      <c r="E21" s="54">
        <f>(E6*Inputs!$B$18+E7*Inputs!$B$19)*Inputs!$B$20</f>
        <v>45160</v>
      </c>
      <c r="F21" s="54">
        <f>(F6*Inputs!$B$18+F7*Inputs!$B$19)*Inputs!$B$20</f>
        <v>53600</v>
      </c>
      <c r="G21" s="54">
        <f>(G6*Inputs!$B$18+G7*Inputs!$B$19)*Inputs!$B$20</f>
        <v>61960</v>
      </c>
      <c r="H21" s="54">
        <f>(H6*Inputs!$B$18+H7*Inputs!$B$19)*Inputs!$B$20</f>
        <v>70680</v>
      </c>
      <c r="I21" s="54">
        <f>(I6*Inputs!$B$18+I7*Inputs!$B$19)*Inputs!$B$20</f>
        <v>79400</v>
      </c>
      <c r="J21" s="54">
        <f>(J6*Inputs!$B$18+J7*Inputs!$B$19)*Inputs!$B$20</f>
        <v>88480</v>
      </c>
      <c r="K21" s="54">
        <f>(K6*Inputs!$B$18+K7*Inputs!$B$19)*Inputs!$B$20</f>
        <v>97560</v>
      </c>
      <c r="L21" s="54">
        <f>(L6*Inputs!$B$18+L7*Inputs!$B$19)*Inputs!$B$20</f>
        <v>106640</v>
      </c>
      <c r="M21" s="54">
        <f>(M6*Inputs!$B$18+M7*Inputs!$B$19)*Inputs!$B$20</f>
        <v>116160</v>
      </c>
      <c r="N21" s="54">
        <f>(N6*Inputs!$B$18+N7*Inputs!$B$19)*Inputs!$B$20</f>
        <v>125720</v>
      </c>
      <c r="O21" s="54">
        <f>(O6*Inputs!$B$18+O7*Inputs!$B$19)*Inputs!$B$20</f>
        <v>135760</v>
      </c>
      <c r="P21" s="54">
        <f>(P6*Inputs!$B$18+P7*Inputs!$B$19)*Inputs!$B$20</f>
        <v>145840</v>
      </c>
      <c r="Q21" s="54">
        <f>(Q6*Inputs!$B$18+Q7*Inputs!$B$19)*Inputs!$B$20</f>
        <v>156360</v>
      </c>
      <c r="R21" s="54">
        <f>(R6*Inputs!$B$18+R7*Inputs!$B$19)*Inputs!$B$20</f>
        <v>167360</v>
      </c>
      <c r="S21" s="54">
        <f>(S6*Inputs!$B$18+S7*Inputs!$B$19)*Inputs!$B$20</f>
        <v>178440</v>
      </c>
      <c r="T21" s="54">
        <f>(T6*Inputs!$B$18+T7*Inputs!$B$19)*Inputs!$B$20</f>
        <v>190040</v>
      </c>
      <c r="U21" s="54">
        <f>(U6*Inputs!$B$18+U7*Inputs!$B$19)*Inputs!$B$20</f>
        <v>202120</v>
      </c>
      <c r="V21" s="54">
        <f>(V6*Inputs!$B$18+V7*Inputs!$B$19)*Inputs!$B$20</f>
        <v>214680</v>
      </c>
      <c r="W21" s="54">
        <f>(W6*Inputs!$B$18+W7*Inputs!$B$19)*Inputs!$B$20</f>
        <v>227800</v>
      </c>
      <c r="X21" s="54">
        <f>(X6*Inputs!$B$18+X7*Inputs!$B$19)*Inputs!$B$20</f>
        <v>241440</v>
      </c>
      <c r="Y21" s="54">
        <f>(Y6*Inputs!$B$18+Y7*Inputs!$B$19)*Inputs!$B$20</f>
        <v>255200</v>
      </c>
      <c r="Z21" s="54">
        <f>(Z6*Inputs!$B$18+Z7*Inputs!$B$19)*Inputs!$B$20</f>
        <v>269920</v>
      </c>
      <c r="AA21" s="54">
        <f>(AA6*Inputs!$B$18+AA7*Inputs!$B$19)*Inputs!$B$20</f>
        <v>285160</v>
      </c>
      <c r="AB21" s="54">
        <f>(AB6*Inputs!$B$18+AB7*Inputs!$B$19)*Inputs!$B$20</f>
        <v>300960</v>
      </c>
      <c r="AC21" s="54">
        <f>(AC6*Inputs!$B$18+AC7*Inputs!$B$19)*Inputs!$B$20</f>
        <v>317320</v>
      </c>
      <c r="AD21" s="54">
        <f>(AD6*Inputs!$B$18+AD7*Inputs!$B$19)*Inputs!$B$20</f>
        <v>334640</v>
      </c>
      <c r="AE21" s="54">
        <f>(AE6*Inputs!$B$18+AE7*Inputs!$B$19)*Inputs!$B$20</f>
        <v>352560</v>
      </c>
      <c r="AF21" s="54">
        <f>(AF6*Inputs!$B$18+AF7*Inputs!$B$19)*Inputs!$B$20</f>
        <v>371480</v>
      </c>
      <c r="AG21" s="54">
        <f>(AG6*Inputs!$B$18+AG7*Inputs!$B$19)*Inputs!$B$20</f>
        <v>391000</v>
      </c>
      <c r="AH21" s="54">
        <f>(AH6*Inputs!$B$18+AH7*Inputs!$B$19)*Inputs!$B$20</f>
        <v>411520</v>
      </c>
      <c r="AI21" s="54">
        <f>(AI6*Inputs!$B$18+AI7*Inputs!$B$19)*Inputs!$B$20</f>
        <v>433040</v>
      </c>
      <c r="AJ21" s="54">
        <f>(AJ6*Inputs!$B$18+AJ7*Inputs!$B$19)*Inputs!$B$20</f>
        <v>455600</v>
      </c>
      <c r="AK21" s="54">
        <f>(AK6*Inputs!$B$18+AK7*Inputs!$B$19)*Inputs!$B$20</f>
        <v>479240</v>
      </c>
      <c r="AL21" s="54">
        <f>SUM(B21:AK21)</f>
        <v>7450400</v>
      </c>
    </row>
    <row r="22" spans="1:38" x14ac:dyDescent="0.25">
      <c r="A22" s="1" t="s">
        <v>381</v>
      </c>
      <c r="B22" s="54">
        <f>B10*Inputs!$B$44</f>
        <v>201600</v>
      </c>
      <c r="C22" s="54">
        <f>C10*Inputs!$B$44</f>
        <v>254160</v>
      </c>
      <c r="D22" s="54">
        <f>D10*Inputs!$B$44</f>
        <v>303840</v>
      </c>
      <c r="E22" s="54">
        <f>E10*Inputs!$B$44</f>
        <v>352800</v>
      </c>
      <c r="F22" s="54">
        <f>F10*Inputs!$B$44</f>
        <v>401040</v>
      </c>
      <c r="G22" s="54">
        <f>G10*Inputs!$B$44</f>
        <v>447840</v>
      </c>
      <c r="H22" s="54">
        <f>H10*Inputs!$B$44</f>
        <v>494640</v>
      </c>
      <c r="I22" s="54">
        <f>I10*Inputs!$B$44</f>
        <v>541440</v>
      </c>
      <c r="J22" s="54">
        <f>J10*Inputs!$B$44</f>
        <v>588240</v>
      </c>
      <c r="K22" s="54">
        <f>K10*Inputs!$B$44</f>
        <v>635040</v>
      </c>
      <c r="L22" s="54">
        <f>L10*Inputs!$B$44</f>
        <v>681840</v>
      </c>
      <c r="M22" s="54">
        <f>M10*Inputs!$B$44</f>
        <v>730080</v>
      </c>
      <c r="N22" s="54">
        <f>N10*Inputs!$B$44</f>
        <v>779040</v>
      </c>
      <c r="O22" s="54">
        <f>O10*Inputs!$B$44</f>
        <v>830160</v>
      </c>
      <c r="P22" s="54">
        <f>P10*Inputs!$B$44</f>
        <v>882000</v>
      </c>
      <c r="Q22" s="54">
        <f>Q10*Inputs!$B$44</f>
        <v>935280</v>
      </c>
      <c r="R22" s="54">
        <f>R10*Inputs!$B$44</f>
        <v>990720</v>
      </c>
      <c r="S22" s="54">
        <f>S10*Inputs!$B$44</f>
        <v>1047600</v>
      </c>
      <c r="T22" s="54">
        <f>T10*Inputs!$B$44</f>
        <v>1107360</v>
      </c>
      <c r="U22" s="54">
        <f>U10*Inputs!$B$44</f>
        <v>1169280</v>
      </c>
      <c r="V22" s="54">
        <f>V10*Inputs!$B$44</f>
        <v>1233360</v>
      </c>
      <c r="W22" s="54">
        <f>W10*Inputs!$B$44</f>
        <v>1301040</v>
      </c>
      <c r="X22" s="54">
        <f>X10*Inputs!$B$44</f>
        <v>1371600</v>
      </c>
      <c r="Y22" s="54">
        <f>Y10*Inputs!$B$44</f>
        <v>1444320</v>
      </c>
      <c r="Z22" s="54">
        <f>Z10*Inputs!$B$44</f>
        <v>1521360</v>
      </c>
      <c r="AA22" s="54">
        <f>AA10*Inputs!$B$44</f>
        <v>1601280</v>
      </c>
      <c r="AB22" s="54">
        <f>AB10*Inputs!$B$44</f>
        <v>1684800</v>
      </c>
      <c r="AC22" s="54">
        <f>AC10*Inputs!$B$44</f>
        <v>1771920</v>
      </c>
      <c r="AD22" s="54">
        <f>AD10*Inputs!$B$44</f>
        <v>1863360</v>
      </c>
      <c r="AE22" s="54">
        <f>AE10*Inputs!$B$44</f>
        <v>1959120</v>
      </c>
      <c r="AF22" s="54">
        <f>AF10*Inputs!$B$44</f>
        <v>2059920</v>
      </c>
      <c r="AG22" s="54">
        <f>AG10*Inputs!$B$44</f>
        <v>2165040</v>
      </c>
      <c r="AH22" s="54">
        <f>AH10*Inputs!$B$44</f>
        <v>2275200</v>
      </c>
      <c r="AI22" s="54">
        <f>AI10*Inputs!$B$44</f>
        <v>2390400</v>
      </c>
      <c r="AJ22" s="54">
        <f>AJ10*Inputs!$B$44</f>
        <v>2511360</v>
      </c>
      <c r="AK22" s="54">
        <f>AK10*Inputs!$B$44</f>
        <v>2638800</v>
      </c>
      <c r="AL22" s="54">
        <f>SUM(B22:AK22)</f>
        <v>43166880</v>
      </c>
    </row>
    <row r="23" spans="1:38" x14ac:dyDescent="0.25">
      <c r="A23" s="2" t="s">
        <v>382</v>
      </c>
      <c r="B23" s="54">
        <f t="shared" ref="B23:AK23" si="3">SUM(B20:B22)</f>
        <v>2183020</v>
      </c>
      <c r="C23" s="54">
        <f t="shared" si="3"/>
        <v>2862815</v>
      </c>
      <c r="D23" s="54">
        <f t="shared" si="3"/>
        <v>3518030</v>
      </c>
      <c r="E23" s="54">
        <f t="shared" si="3"/>
        <v>4183615</v>
      </c>
      <c r="F23" s="54">
        <f t="shared" si="3"/>
        <v>4859570</v>
      </c>
      <c r="G23" s="54">
        <f t="shared" si="3"/>
        <v>5523235</v>
      </c>
      <c r="H23" s="54">
        <f t="shared" si="3"/>
        <v>6203415</v>
      </c>
      <c r="I23" s="54">
        <f t="shared" si="3"/>
        <v>6883595</v>
      </c>
      <c r="J23" s="54">
        <f t="shared" si="3"/>
        <v>7580290</v>
      </c>
      <c r="K23" s="54">
        <f t="shared" si="3"/>
        <v>8276985</v>
      </c>
      <c r="L23" s="54">
        <f t="shared" si="3"/>
        <v>8973680</v>
      </c>
      <c r="M23" s="54">
        <f t="shared" si="3"/>
        <v>9699180</v>
      </c>
      <c r="N23" s="54">
        <f t="shared" si="3"/>
        <v>10430825</v>
      </c>
      <c r="O23" s="54">
        <f t="shared" si="3"/>
        <v>11197420</v>
      </c>
      <c r="P23" s="54">
        <f t="shared" si="3"/>
        <v>11970160</v>
      </c>
      <c r="Q23" s="54">
        <f t="shared" si="3"/>
        <v>12771705</v>
      </c>
      <c r="R23" s="54">
        <f t="shared" si="3"/>
        <v>13608200</v>
      </c>
      <c r="S23" s="54">
        <f t="shared" si="3"/>
        <v>14456985</v>
      </c>
      <c r="T23" s="54">
        <f t="shared" si="3"/>
        <v>15346865</v>
      </c>
      <c r="U23" s="54">
        <f t="shared" si="3"/>
        <v>16271695</v>
      </c>
      <c r="V23" s="54">
        <f t="shared" si="3"/>
        <v>17231475</v>
      </c>
      <c r="W23" s="54">
        <f t="shared" si="3"/>
        <v>18238495</v>
      </c>
      <c r="X23" s="54">
        <f t="shared" si="3"/>
        <v>19286610</v>
      </c>
      <c r="Y23" s="54">
        <f t="shared" si="3"/>
        <v>20353160</v>
      </c>
      <c r="Z23" s="54">
        <f t="shared" si="3"/>
        <v>21489610</v>
      </c>
      <c r="AA23" s="54">
        <f t="shared" si="3"/>
        <v>22667155</v>
      </c>
      <c r="AB23" s="54">
        <f t="shared" si="3"/>
        <v>23891940</v>
      </c>
      <c r="AC23" s="54">
        <f t="shared" si="3"/>
        <v>25163965</v>
      </c>
      <c r="AD23" s="54">
        <f t="shared" si="3"/>
        <v>26505890</v>
      </c>
      <c r="AE23" s="54">
        <f t="shared" si="3"/>
        <v>27901200</v>
      </c>
      <c r="AF23" s="54">
        <f t="shared" si="3"/>
        <v>29372555</v>
      </c>
      <c r="AG23" s="54">
        <f t="shared" si="3"/>
        <v>30897295</v>
      </c>
      <c r="AH23" s="54">
        <f t="shared" si="3"/>
        <v>32498080</v>
      </c>
      <c r="AI23" s="54">
        <f t="shared" si="3"/>
        <v>34174910</v>
      </c>
      <c r="AJ23" s="54">
        <f t="shared" si="3"/>
        <v>35933930</v>
      </c>
      <c r="AK23" s="54">
        <f t="shared" si="3"/>
        <v>37781285</v>
      </c>
      <c r="AL23" s="54">
        <f>SUM(B23:AK23)</f>
        <v>600188840</v>
      </c>
    </row>
    <row r="24" spans="1:38" x14ac:dyDescent="0.25">
      <c r="A24" s="66" t="s">
        <v>383</v>
      </c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8"/>
    </row>
    <row r="25" spans="1:38" x14ac:dyDescent="0.25">
      <c r="A25" s="1" t="s">
        <v>383</v>
      </c>
      <c r="B25" s="54">
        <f t="shared" ref="B25:AK25" si="4">B17-B23</f>
        <v>2541980</v>
      </c>
      <c r="C25" s="54">
        <f t="shared" si="4"/>
        <v>3524535</v>
      </c>
      <c r="D25" s="54">
        <f t="shared" si="4"/>
        <v>5889870</v>
      </c>
      <c r="E25" s="54">
        <f t="shared" si="4"/>
        <v>7598635</v>
      </c>
      <c r="F25" s="54">
        <f t="shared" si="4"/>
        <v>9350830</v>
      </c>
      <c r="G25" s="54">
        <f t="shared" si="4"/>
        <v>11094415</v>
      </c>
      <c r="H25" s="54">
        <f t="shared" si="4"/>
        <v>12885735</v>
      </c>
      <c r="I25" s="54">
        <f t="shared" si="4"/>
        <v>14677055</v>
      </c>
      <c r="J25" s="54">
        <f t="shared" si="4"/>
        <v>16516110</v>
      </c>
      <c r="K25" s="54">
        <f t="shared" si="4"/>
        <v>18355165</v>
      </c>
      <c r="L25" s="54">
        <f t="shared" si="4"/>
        <v>20194220</v>
      </c>
      <c r="M25" s="54">
        <f t="shared" si="4"/>
        <v>22089620</v>
      </c>
      <c r="N25" s="54">
        <f t="shared" si="4"/>
        <v>23989325</v>
      </c>
      <c r="O25" s="54">
        <f t="shared" si="4"/>
        <v>25949680</v>
      </c>
      <c r="P25" s="54">
        <f t="shared" si="4"/>
        <v>27914340</v>
      </c>
      <c r="Q25" s="54">
        <f t="shared" si="4"/>
        <v>29935345</v>
      </c>
      <c r="R25" s="54">
        <f t="shared" si="4"/>
        <v>32017000</v>
      </c>
      <c r="S25" s="54">
        <f t="shared" si="4"/>
        <v>34107265</v>
      </c>
      <c r="T25" s="54">
        <f t="shared" si="4"/>
        <v>35562485</v>
      </c>
      <c r="U25" s="54">
        <f t="shared" si="4"/>
        <v>37078355</v>
      </c>
      <c r="V25" s="54">
        <f t="shared" si="4"/>
        <v>38654875</v>
      </c>
      <c r="W25" s="54">
        <f t="shared" si="4"/>
        <v>40300655</v>
      </c>
      <c r="X25" s="54">
        <f t="shared" si="4"/>
        <v>42011390</v>
      </c>
      <c r="Y25" s="54">
        <f t="shared" si="4"/>
        <v>43735040</v>
      </c>
      <c r="Z25" s="54">
        <f t="shared" si="4"/>
        <v>45579990</v>
      </c>
      <c r="AA25" s="54">
        <f t="shared" si="4"/>
        <v>47489895</v>
      </c>
      <c r="AB25" s="54">
        <f t="shared" si="4"/>
        <v>49469060</v>
      </c>
      <c r="AC25" s="54">
        <f t="shared" si="4"/>
        <v>51517485</v>
      </c>
      <c r="AD25" s="54">
        <f t="shared" si="4"/>
        <v>53687210</v>
      </c>
      <c r="AE25" s="54">
        <f t="shared" si="4"/>
        <v>55930500</v>
      </c>
      <c r="AF25" s="54">
        <f t="shared" si="4"/>
        <v>58299395</v>
      </c>
      <c r="AG25" s="54">
        <f t="shared" si="4"/>
        <v>60741855</v>
      </c>
      <c r="AH25" s="54">
        <f t="shared" si="4"/>
        <v>63309920</v>
      </c>
      <c r="AI25" s="54">
        <f t="shared" si="4"/>
        <v>66003590</v>
      </c>
      <c r="AJ25" s="54">
        <f t="shared" si="4"/>
        <v>68827170</v>
      </c>
      <c r="AK25" s="54">
        <f t="shared" si="4"/>
        <v>71784965</v>
      </c>
      <c r="AL25" s="54">
        <f>SUM(B25:AK25)</f>
        <v>1248614960</v>
      </c>
    </row>
    <row r="26" spans="1:38" x14ac:dyDescent="0.25">
      <c r="A26" s="2" t="s">
        <v>384</v>
      </c>
      <c r="B26" s="44">
        <f t="shared" ref="B26:AL26" si="5">IFERROR(B25/B17,0)</f>
        <v>0.53798518518518523</v>
      </c>
      <c r="C26" s="44">
        <f t="shared" si="5"/>
        <v>0.5517992594738037</v>
      </c>
      <c r="D26" s="44">
        <f t="shared" si="5"/>
        <v>0.6260557616471264</v>
      </c>
      <c r="E26" s="44">
        <f t="shared" si="5"/>
        <v>0.64492223471747756</v>
      </c>
      <c r="F26" s="44">
        <f t="shared" si="5"/>
        <v>0.65802721950121035</v>
      </c>
      <c r="G26" s="44">
        <f t="shared" si="5"/>
        <v>0.66762839511001859</v>
      </c>
      <c r="H26" s="44">
        <f t="shared" si="5"/>
        <v>0.67502927055421535</v>
      </c>
      <c r="I26" s="44">
        <f t="shared" si="5"/>
        <v>0.68073341944700183</v>
      </c>
      <c r="J26" s="44">
        <f t="shared" si="5"/>
        <v>0.68541815374910775</v>
      </c>
      <c r="K26" s="44">
        <f t="shared" si="5"/>
        <v>0.68921078470945829</v>
      </c>
      <c r="L26" s="44">
        <f t="shared" si="5"/>
        <v>0.69234398088309412</v>
      </c>
      <c r="M26" s="44">
        <f t="shared" si="5"/>
        <v>0.69488687839742302</v>
      </c>
      <c r="N26" s="44">
        <f t="shared" si="5"/>
        <v>0.6969558528943075</v>
      </c>
      <c r="O26" s="44">
        <f t="shared" si="5"/>
        <v>0.69856543310244945</v>
      </c>
      <c r="P26" s="44">
        <f t="shared" si="5"/>
        <v>0.69987940177261843</v>
      </c>
      <c r="Q26" s="44">
        <f t="shared" si="5"/>
        <v>0.70094621379842437</v>
      </c>
      <c r="R26" s="44">
        <f t="shared" si="5"/>
        <v>0.70173938963555227</v>
      </c>
      <c r="S26" s="44">
        <f t="shared" si="5"/>
        <v>0.70231219466994754</v>
      </c>
      <c r="T26" s="44">
        <f t="shared" si="5"/>
        <v>0.69854525740360074</v>
      </c>
      <c r="U26" s="44">
        <f t="shared" si="5"/>
        <v>0.69500131677477339</v>
      </c>
      <c r="V26" s="44">
        <f t="shared" si="5"/>
        <v>0.69166934322960794</v>
      </c>
      <c r="W26" s="44">
        <f t="shared" si="5"/>
        <v>0.68843936066717748</v>
      </c>
      <c r="X26" s="44">
        <f t="shared" si="5"/>
        <v>0.68536314398512188</v>
      </c>
      <c r="Y26" s="44">
        <f t="shared" si="5"/>
        <v>0.68241954057065102</v>
      </c>
      <c r="Z26" s="44">
        <f t="shared" si="5"/>
        <v>0.6795923935732433</v>
      </c>
      <c r="AA26" s="44">
        <f t="shared" si="5"/>
        <v>0.67690837912939616</v>
      </c>
      <c r="AB26" s="44">
        <f t="shared" si="5"/>
        <v>0.67432368697264211</v>
      </c>
      <c r="AC26" s="44">
        <f t="shared" si="5"/>
        <v>0.67183764782747324</v>
      </c>
      <c r="AD26" s="44">
        <f t="shared" si="5"/>
        <v>0.66947418169393624</v>
      </c>
      <c r="AE26" s="44">
        <f t="shared" si="5"/>
        <v>0.66717602052684133</v>
      </c>
      <c r="AF26" s="44">
        <f t="shared" si="5"/>
        <v>0.66497203495530788</v>
      </c>
      <c r="AG26" s="44">
        <f t="shared" si="5"/>
        <v>0.66283738991468166</v>
      </c>
      <c r="AH26" s="44">
        <f t="shared" si="5"/>
        <v>0.66079993319973285</v>
      </c>
      <c r="AI26" s="44">
        <f t="shared" si="5"/>
        <v>0.65885983519417834</v>
      </c>
      <c r="AJ26" s="44">
        <f t="shared" si="5"/>
        <v>0.65699166961782574</v>
      </c>
      <c r="AK26" s="44">
        <f t="shared" si="5"/>
        <v>0.65517406135557255</v>
      </c>
      <c r="AL26" s="44">
        <f t="shared" si="5"/>
        <v>0.67536369191798507</v>
      </c>
    </row>
    <row r="28" spans="1:38" x14ac:dyDescent="0.25">
      <c r="A28" s="66" t="s">
        <v>385</v>
      </c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8"/>
    </row>
    <row r="29" spans="1:38" x14ac:dyDescent="0.25">
      <c r="A29" s="1" t="s">
        <v>386</v>
      </c>
      <c r="B29" s="54">
        <f>Inputs!$B$40</f>
        <v>22675000</v>
      </c>
      <c r="C29" s="54">
        <f>Inputs!$B$40</f>
        <v>22675000</v>
      </c>
      <c r="D29" s="54">
        <f>Inputs!$B$40</f>
        <v>22675000</v>
      </c>
      <c r="E29" s="54">
        <f>Inputs!$B$40</f>
        <v>22675000</v>
      </c>
      <c r="F29" s="54">
        <f>Inputs!$B$40</f>
        <v>22675000</v>
      </c>
      <c r="G29" s="54">
        <f>Inputs!$B$40</f>
        <v>22675000</v>
      </c>
      <c r="H29" s="54">
        <f>Inputs!$B$40</f>
        <v>22675000</v>
      </c>
      <c r="I29" s="54">
        <f>Inputs!$B$40</f>
        <v>22675000</v>
      </c>
      <c r="J29" s="54">
        <f>Inputs!$B$40</f>
        <v>22675000</v>
      </c>
      <c r="K29" s="54">
        <f>Inputs!$B$40</f>
        <v>22675000</v>
      </c>
      <c r="L29" s="54">
        <f>Inputs!$B$40</f>
        <v>22675000</v>
      </c>
      <c r="M29" s="54">
        <f>Inputs!$B$40</f>
        <v>22675000</v>
      </c>
      <c r="N29" s="54">
        <f>Inputs!$B$40</f>
        <v>22675000</v>
      </c>
      <c r="O29" s="54">
        <f>Inputs!$B$40</f>
        <v>22675000</v>
      </c>
      <c r="P29" s="54">
        <f>Inputs!$B$40</f>
        <v>22675000</v>
      </c>
      <c r="Q29" s="54">
        <f>Inputs!$B$40</f>
        <v>22675000</v>
      </c>
      <c r="R29" s="54">
        <f>Inputs!$B$40</f>
        <v>22675000</v>
      </c>
      <c r="S29" s="54">
        <f>Inputs!$B$40</f>
        <v>22675000</v>
      </c>
      <c r="T29" s="54">
        <f>Inputs!$B$40</f>
        <v>22675000</v>
      </c>
      <c r="U29" s="54">
        <f>Inputs!$B$40</f>
        <v>22675000</v>
      </c>
      <c r="V29" s="54">
        <f>Inputs!$B$40</f>
        <v>22675000</v>
      </c>
      <c r="W29" s="54">
        <f>Inputs!$B$40</f>
        <v>22675000</v>
      </c>
      <c r="X29" s="54">
        <f>Inputs!$B$40</f>
        <v>22675000</v>
      </c>
      <c r="Y29" s="54">
        <f>Inputs!$B$40</f>
        <v>22675000</v>
      </c>
      <c r="Z29" s="54">
        <f>Inputs!$B$40</f>
        <v>22675000</v>
      </c>
      <c r="AA29" s="54">
        <f>Inputs!$B$40</f>
        <v>22675000</v>
      </c>
      <c r="AB29" s="54">
        <f>Inputs!$B$40</f>
        <v>22675000</v>
      </c>
      <c r="AC29" s="54">
        <f>Inputs!$B$40</f>
        <v>22675000</v>
      </c>
      <c r="AD29" s="54">
        <f>Inputs!$B$40</f>
        <v>22675000</v>
      </c>
      <c r="AE29" s="54">
        <f>Inputs!$B$40</f>
        <v>22675000</v>
      </c>
      <c r="AF29" s="54">
        <f>Inputs!$B$40</f>
        <v>22675000</v>
      </c>
      <c r="AG29" s="54">
        <f>Inputs!$B$40</f>
        <v>22675000</v>
      </c>
      <c r="AH29" s="54">
        <f>Inputs!$B$40</f>
        <v>22675000</v>
      </c>
      <c r="AI29" s="54">
        <f>Inputs!$B$40</f>
        <v>22675000</v>
      </c>
      <c r="AJ29" s="54">
        <f>Inputs!$B$40</f>
        <v>22675000</v>
      </c>
      <c r="AK29" s="54">
        <f>Inputs!$B$40</f>
        <v>22675000</v>
      </c>
      <c r="AL29" s="54">
        <f t="shared" ref="AL29:AL34" si="6">SUM(B29:AK29)</f>
        <v>816300000</v>
      </c>
    </row>
    <row r="30" spans="1:38" x14ac:dyDescent="0.25">
      <c r="A30" s="1" t="s">
        <v>441</v>
      </c>
      <c r="B30" s="54">
        <f>Inputs!$B$41</f>
        <v>2602542</v>
      </c>
      <c r="C30" s="54">
        <f>Inputs!$B$41</f>
        <v>2602542</v>
      </c>
      <c r="D30" s="54">
        <f>Inputs!$B$41</f>
        <v>2602542</v>
      </c>
      <c r="E30" s="54">
        <f>Inputs!$B$41</f>
        <v>2602542</v>
      </c>
      <c r="F30" s="54">
        <f>Inputs!$B$41</f>
        <v>2602542</v>
      </c>
      <c r="G30" s="54">
        <f>Inputs!$B$41</f>
        <v>2602542</v>
      </c>
      <c r="H30" s="54">
        <f>Inputs!$B$41</f>
        <v>2602542</v>
      </c>
      <c r="I30" s="54">
        <f>Inputs!$B$41</f>
        <v>2602542</v>
      </c>
      <c r="J30" s="54">
        <f>Inputs!$B$41</f>
        <v>2602542</v>
      </c>
      <c r="K30" s="54">
        <f>Inputs!$B$41</f>
        <v>2602542</v>
      </c>
      <c r="L30" s="54">
        <f>Inputs!$B$41</f>
        <v>2602542</v>
      </c>
      <c r="M30" s="54">
        <f>Inputs!$B$41</f>
        <v>2602542</v>
      </c>
      <c r="N30" s="54">
        <f>Inputs!$B$41</f>
        <v>2602542</v>
      </c>
      <c r="O30" s="54">
        <f>Inputs!$B$41</f>
        <v>2602542</v>
      </c>
      <c r="P30" s="54">
        <f>Inputs!$B$41</f>
        <v>2602542</v>
      </c>
      <c r="Q30" s="54">
        <f>Inputs!$B$41</f>
        <v>2602542</v>
      </c>
      <c r="R30" s="54">
        <f>Inputs!$B$41</f>
        <v>2602542</v>
      </c>
      <c r="S30" s="54">
        <f>Inputs!$B$41</f>
        <v>2602542</v>
      </c>
      <c r="T30" s="54">
        <f>Inputs!$B$41</f>
        <v>2602542</v>
      </c>
      <c r="U30" s="54">
        <f>Inputs!$B$41</f>
        <v>2602542</v>
      </c>
      <c r="V30" s="54">
        <f>Inputs!$B$41</f>
        <v>2602542</v>
      </c>
      <c r="W30" s="54">
        <f>Inputs!$B$41</f>
        <v>2602542</v>
      </c>
      <c r="X30" s="54">
        <f>Inputs!$B$41</f>
        <v>2602542</v>
      </c>
      <c r="Y30" s="54">
        <f>Inputs!$B$41</f>
        <v>2602542</v>
      </c>
      <c r="Z30" s="54">
        <f>Inputs!$B$41</f>
        <v>2602542</v>
      </c>
      <c r="AA30" s="54">
        <f>Inputs!$B$41</f>
        <v>2602542</v>
      </c>
      <c r="AB30" s="54">
        <f>Inputs!$B$41</f>
        <v>2602542</v>
      </c>
      <c r="AC30" s="54">
        <f>Inputs!$B$41</f>
        <v>2602542</v>
      </c>
      <c r="AD30" s="54">
        <f>Inputs!$B$41</f>
        <v>2602542</v>
      </c>
      <c r="AE30" s="54">
        <f>Inputs!$B$41</f>
        <v>2602542</v>
      </c>
      <c r="AF30" s="54">
        <f>Inputs!$B$41</f>
        <v>2602542</v>
      </c>
      <c r="AG30" s="54">
        <f>Inputs!$B$41</f>
        <v>2602542</v>
      </c>
      <c r="AH30" s="54">
        <f>Inputs!$B$41</f>
        <v>2602542</v>
      </c>
      <c r="AI30" s="54">
        <f>Inputs!$B$41</f>
        <v>2602542</v>
      </c>
      <c r="AJ30" s="54">
        <f>Inputs!$B$41</f>
        <v>2602542</v>
      </c>
      <c r="AK30" s="54">
        <f>Inputs!$B$41</f>
        <v>2602542</v>
      </c>
      <c r="AL30" s="54">
        <f t="shared" si="6"/>
        <v>93691512</v>
      </c>
    </row>
    <row r="31" spans="1:38" x14ac:dyDescent="0.25">
      <c r="A31" s="1" t="s">
        <v>388</v>
      </c>
      <c r="B31" s="54">
        <f>Inputs!$B$42</f>
        <v>1900000</v>
      </c>
      <c r="C31" s="54">
        <f>Inputs!$B$42</f>
        <v>1900000</v>
      </c>
      <c r="D31" s="54">
        <f>Inputs!$B$42</f>
        <v>1900000</v>
      </c>
      <c r="E31" s="54">
        <f>Inputs!$B$42</f>
        <v>1900000</v>
      </c>
      <c r="F31" s="54">
        <f>Inputs!$B$42</f>
        <v>1900000</v>
      </c>
      <c r="G31" s="54">
        <f>Inputs!$B$42</f>
        <v>1900000</v>
      </c>
      <c r="H31" s="54">
        <f>Inputs!$B$42</f>
        <v>1900000</v>
      </c>
      <c r="I31" s="54">
        <f>Inputs!$B$42</f>
        <v>1900000</v>
      </c>
      <c r="J31" s="54">
        <f>Inputs!$B$42</f>
        <v>1900000</v>
      </c>
      <c r="K31" s="54">
        <f>Inputs!$B$42</f>
        <v>1900000</v>
      </c>
      <c r="L31" s="54">
        <f>Inputs!$B$42</f>
        <v>1900000</v>
      </c>
      <c r="M31" s="54">
        <f>Inputs!$B$42</f>
        <v>1900000</v>
      </c>
      <c r="N31" s="54">
        <f>Inputs!$B$42</f>
        <v>1900000</v>
      </c>
      <c r="O31" s="54">
        <f>Inputs!$B$42</f>
        <v>1900000</v>
      </c>
      <c r="P31" s="54">
        <f>Inputs!$B$42</f>
        <v>1900000</v>
      </c>
      <c r="Q31" s="54">
        <f>Inputs!$B$42</f>
        <v>1900000</v>
      </c>
      <c r="R31" s="54">
        <f>Inputs!$B$42</f>
        <v>1900000</v>
      </c>
      <c r="S31" s="54">
        <f>Inputs!$B$42</f>
        <v>1900000</v>
      </c>
      <c r="T31" s="54">
        <f>Inputs!$B$42</f>
        <v>1900000</v>
      </c>
      <c r="U31" s="54">
        <f>Inputs!$B$42</f>
        <v>1900000</v>
      </c>
      <c r="V31" s="54">
        <f>Inputs!$B$42</f>
        <v>1900000</v>
      </c>
      <c r="W31" s="54">
        <f>Inputs!$B$42</f>
        <v>1900000</v>
      </c>
      <c r="X31" s="54">
        <f>Inputs!$B$42</f>
        <v>1900000</v>
      </c>
      <c r="Y31" s="54">
        <f>Inputs!$B$42</f>
        <v>1900000</v>
      </c>
      <c r="Z31" s="54">
        <f>Inputs!$B$42</f>
        <v>1900000</v>
      </c>
      <c r="AA31" s="54">
        <f>Inputs!$B$42</f>
        <v>1900000</v>
      </c>
      <c r="AB31" s="54">
        <f>Inputs!$B$42</f>
        <v>1900000</v>
      </c>
      <c r="AC31" s="54">
        <f>Inputs!$B$42</f>
        <v>1900000</v>
      </c>
      <c r="AD31" s="54">
        <f>Inputs!$B$42</f>
        <v>1900000</v>
      </c>
      <c r="AE31" s="54">
        <f>Inputs!$B$42</f>
        <v>1900000</v>
      </c>
      <c r="AF31" s="54">
        <f>Inputs!$B$42</f>
        <v>1900000</v>
      </c>
      <c r="AG31" s="54">
        <f>Inputs!$B$42</f>
        <v>1900000</v>
      </c>
      <c r="AH31" s="54">
        <f>Inputs!$B$42</f>
        <v>1900000</v>
      </c>
      <c r="AI31" s="54">
        <f>Inputs!$B$42</f>
        <v>1900000</v>
      </c>
      <c r="AJ31" s="54">
        <f>Inputs!$B$42</f>
        <v>1900000</v>
      </c>
      <c r="AK31" s="54">
        <f>Inputs!$B$42</f>
        <v>1900000</v>
      </c>
      <c r="AL31" s="54">
        <f t="shared" si="6"/>
        <v>68400000</v>
      </c>
    </row>
    <row r="32" spans="1:38" x14ac:dyDescent="0.25">
      <c r="A32" s="1" t="s">
        <v>442</v>
      </c>
      <c r="B32" s="54">
        <f>Inputs!$B$43</f>
        <v>2400000</v>
      </c>
      <c r="C32" s="54">
        <f>Inputs!$B$43</f>
        <v>2400000</v>
      </c>
      <c r="D32" s="54">
        <f>Inputs!$B$43</f>
        <v>2400000</v>
      </c>
      <c r="E32" s="54">
        <f>Inputs!$B$43</f>
        <v>2400000</v>
      </c>
      <c r="F32" s="54">
        <f>Inputs!$B$43</f>
        <v>2400000</v>
      </c>
      <c r="G32" s="54">
        <f>Inputs!$B$43</f>
        <v>2400000</v>
      </c>
      <c r="H32" s="54">
        <f>Inputs!$B$43</f>
        <v>2400000</v>
      </c>
      <c r="I32" s="54">
        <f>Inputs!$B$43</f>
        <v>2400000</v>
      </c>
      <c r="J32" s="54">
        <f>Inputs!$B$43</f>
        <v>2400000</v>
      </c>
      <c r="K32" s="54">
        <f>Inputs!$B$43</f>
        <v>2400000</v>
      </c>
      <c r="L32" s="54">
        <f>Inputs!$B$43</f>
        <v>2400000</v>
      </c>
      <c r="M32" s="54">
        <f>Inputs!$B$43</f>
        <v>2400000</v>
      </c>
      <c r="N32" s="54">
        <f>Inputs!$B$43</f>
        <v>2400000</v>
      </c>
      <c r="O32" s="54">
        <f>Inputs!$B$43</f>
        <v>2400000</v>
      </c>
      <c r="P32" s="54">
        <f>Inputs!$B$43</f>
        <v>2400000</v>
      </c>
      <c r="Q32" s="54">
        <f>Inputs!$B$43</f>
        <v>2400000</v>
      </c>
      <c r="R32" s="54">
        <f>Inputs!$B$43</f>
        <v>2400000</v>
      </c>
      <c r="S32" s="54">
        <f>Inputs!$B$43</f>
        <v>2400000</v>
      </c>
      <c r="T32" s="54">
        <f>Inputs!$B$43</f>
        <v>2400000</v>
      </c>
      <c r="U32" s="54">
        <f>Inputs!$B$43</f>
        <v>2400000</v>
      </c>
      <c r="V32" s="54">
        <f>Inputs!$B$43</f>
        <v>2400000</v>
      </c>
      <c r="W32" s="54">
        <f>Inputs!$B$43</f>
        <v>2400000</v>
      </c>
      <c r="X32" s="54">
        <f>Inputs!$B$43</f>
        <v>2400000</v>
      </c>
      <c r="Y32" s="54">
        <f>Inputs!$B$43</f>
        <v>2400000</v>
      </c>
      <c r="Z32" s="54">
        <f>Inputs!$B$43</f>
        <v>2400000</v>
      </c>
      <c r="AA32" s="54">
        <f>Inputs!$B$43</f>
        <v>2400000</v>
      </c>
      <c r="AB32" s="54">
        <f>Inputs!$B$43</f>
        <v>2400000</v>
      </c>
      <c r="AC32" s="54">
        <f>Inputs!$B$43</f>
        <v>2400000</v>
      </c>
      <c r="AD32" s="54">
        <f>Inputs!$B$43</f>
        <v>2400000</v>
      </c>
      <c r="AE32" s="54">
        <f>Inputs!$B$43</f>
        <v>2400000</v>
      </c>
      <c r="AF32" s="54">
        <f>Inputs!$B$43</f>
        <v>2400000</v>
      </c>
      <c r="AG32" s="54">
        <f>Inputs!$B$43</f>
        <v>2400000</v>
      </c>
      <c r="AH32" s="54">
        <f>Inputs!$B$43</f>
        <v>2400000</v>
      </c>
      <c r="AI32" s="54">
        <f>Inputs!$B$43</f>
        <v>2400000</v>
      </c>
      <c r="AJ32" s="54">
        <f>Inputs!$B$43</f>
        <v>2400000</v>
      </c>
      <c r="AK32" s="54">
        <f>Inputs!$B$43</f>
        <v>2400000</v>
      </c>
      <c r="AL32" s="54">
        <f t="shared" si="6"/>
        <v>86400000</v>
      </c>
    </row>
    <row r="33" spans="1:38" x14ac:dyDescent="0.25">
      <c r="A33" s="1" t="s">
        <v>390</v>
      </c>
      <c r="B33" s="54">
        <f>B5*(1-Inputs!$B$9)*Inputs!$B$35+B5*Inputs!$B$9*Inputs!$B$36+B9*Inputs!$B$37</f>
        <v>1800000</v>
      </c>
      <c r="C33" s="54">
        <f>C5*(1-Inputs!$B$9)*Inputs!$B$35+C5*Inputs!$B$9*Inputs!$B$36+C9*Inputs!$B$37</f>
        <v>1890000</v>
      </c>
      <c r="D33" s="54">
        <f>D5*(1-Inputs!$B$9)*Inputs!$B$35+D5*Inputs!$B$9*Inputs!$B$36+D9*Inputs!$B$37</f>
        <v>5580000</v>
      </c>
      <c r="E33" s="54">
        <f>E5*(1-Inputs!$B$9)*Inputs!$B$35+E5*Inputs!$B$9*Inputs!$B$36+E9*Inputs!$B$37</f>
        <v>3888000</v>
      </c>
      <c r="F33" s="54">
        <f>F5*(1-Inputs!$B$9)*Inputs!$B$35+F5*Inputs!$B$9*Inputs!$B$36+F9*Inputs!$B$37</f>
        <v>3996000</v>
      </c>
      <c r="G33" s="54">
        <f>G5*(1-Inputs!$B$9)*Inputs!$B$35+G5*Inputs!$B$9*Inputs!$B$36+G9*Inputs!$B$37</f>
        <v>4104000</v>
      </c>
      <c r="H33" s="54">
        <f>H5*(1-Inputs!$B$9)*Inputs!$B$35+H5*Inputs!$B$9*Inputs!$B$36+H9*Inputs!$B$37</f>
        <v>4212000</v>
      </c>
      <c r="I33" s="54">
        <f>I5*(1-Inputs!$B$9)*Inputs!$B$35+I5*Inputs!$B$9*Inputs!$B$36+I9*Inputs!$B$37</f>
        <v>4338000</v>
      </c>
      <c r="J33" s="54">
        <f>J5*(1-Inputs!$B$9)*Inputs!$B$35+J5*Inputs!$B$9*Inputs!$B$36+J9*Inputs!$B$37</f>
        <v>4464000</v>
      </c>
      <c r="K33" s="54">
        <f>K5*(1-Inputs!$B$9)*Inputs!$B$35+K5*Inputs!$B$9*Inputs!$B$36+K9*Inputs!$B$37</f>
        <v>4590000</v>
      </c>
      <c r="L33" s="54">
        <f>L5*(1-Inputs!$B$9)*Inputs!$B$35+L5*Inputs!$B$9*Inputs!$B$36+L9*Inputs!$B$37</f>
        <v>4734000</v>
      </c>
      <c r="M33" s="54">
        <f>M5*(1-Inputs!$B$9)*Inputs!$B$35+M5*Inputs!$B$9*Inputs!$B$36+M9*Inputs!$B$37</f>
        <v>4878000</v>
      </c>
      <c r="N33" s="54">
        <f>N5*(1-Inputs!$B$9)*Inputs!$B$35+N5*Inputs!$B$9*Inputs!$B$36+N9*Inputs!$B$37</f>
        <v>5040000</v>
      </c>
      <c r="O33" s="54">
        <f>O5*(1-Inputs!$B$9)*Inputs!$B$35+O5*Inputs!$B$9*Inputs!$B$36+O9*Inputs!$B$37</f>
        <v>5202000</v>
      </c>
      <c r="P33" s="54">
        <f>P5*(1-Inputs!$B$9)*Inputs!$B$35+P5*Inputs!$B$9*Inputs!$B$36+P9*Inputs!$B$37</f>
        <v>5364000</v>
      </c>
      <c r="Q33" s="54">
        <f>Q5*(1-Inputs!$B$9)*Inputs!$B$35+Q5*Inputs!$B$9*Inputs!$B$36+Q9*Inputs!$B$37</f>
        <v>5544000</v>
      </c>
      <c r="R33" s="54">
        <f>R5*(1-Inputs!$B$9)*Inputs!$B$35+R5*Inputs!$B$9*Inputs!$B$36+R9*Inputs!$B$37</f>
        <v>5724000</v>
      </c>
      <c r="S33" s="54">
        <f>S5*(1-Inputs!$B$9)*Inputs!$B$35+S5*Inputs!$B$9*Inputs!$B$36+S9*Inputs!$B$37</f>
        <v>5922000</v>
      </c>
      <c r="T33" s="54">
        <f>T5*(1-Inputs!$B$9)*Inputs!$B$35+T5*Inputs!$B$9*Inputs!$B$36+T9*Inputs!$B$37</f>
        <v>6138000</v>
      </c>
      <c r="U33" s="54">
        <f>U5*(1-Inputs!$B$9)*Inputs!$B$35+U5*Inputs!$B$9*Inputs!$B$36+U9*Inputs!$B$37</f>
        <v>6354000</v>
      </c>
      <c r="V33" s="54">
        <f>V5*(1-Inputs!$B$9)*Inputs!$B$35+V5*Inputs!$B$9*Inputs!$B$36+V9*Inputs!$B$37</f>
        <v>6570000</v>
      </c>
      <c r="W33" s="54">
        <f>W5*(1-Inputs!$B$9)*Inputs!$B$35+W5*Inputs!$B$9*Inputs!$B$36+W9*Inputs!$B$37</f>
        <v>6822000</v>
      </c>
      <c r="X33" s="54">
        <f>X5*(1-Inputs!$B$9)*Inputs!$B$35+X5*Inputs!$B$9*Inputs!$B$36+X9*Inputs!$B$37</f>
        <v>7074000</v>
      </c>
      <c r="Y33" s="54">
        <f>Y5*(1-Inputs!$B$9)*Inputs!$B$35+Y5*Inputs!$B$9*Inputs!$B$36+Y9*Inputs!$B$37</f>
        <v>7326000</v>
      </c>
      <c r="Z33" s="54">
        <f>Z5*(1-Inputs!$B$9)*Inputs!$B$35+Z5*Inputs!$B$9*Inputs!$B$36+Z9*Inputs!$B$37</f>
        <v>7614000</v>
      </c>
      <c r="AA33" s="54">
        <f>AA5*(1-Inputs!$B$9)*Inputs!$B$35+AA5*Inputs!$B$9*Inputs!$B$36+AA9*Inputs!$B$37</f>
        <v>7902000</v>
      </c>
      <c r="AB33" s="54">
        <f>AB5*(1-Inputs!$B$9)*Inputs!$B$35+AB5*Inputs!$B$9*Inputs!$B$36+AB9*Inputs!$B$37</f>
        <v>8208000.0000000009</v>
      </c>
      <c r="AC33" s="54">
        <f>AC5*(1-Inputs!$B$9)*Inputs!$B$35+AC5*Inputs!$B$9*Inputs!$B$36+AC9*Inputs!$B$37</f>
        <v>8514000</v>
      </c>
      <c r="AD33" s="54">
        <f>AD5*(1-Inputs!$B$9)*Inputs!$B$35+AD5*Inputs!$B$9*Inputs!$B$36+AD9*Inputs!$B$37</f>
        <v>8856000</v>
      </c>
      <c r="AE33" s="54">
        <f>AE5*(1-Inputs!$B$9)*Inputs!$B$35+AE5*Inputs!$B$9*Inputs!$B$36+AE9*Inputs!$B$37</f>
        <v>9216000</v>
      </c>
      <c r="AF33" s="54">
        <f>AF5*(1-Inputs!$B$9)*Inputs!$B$35+AF5*Inputs!$B$9*Inputs!$B$36+AF9*Inputs!$B$37</f>
        <v>9576000</v>
      </c>
      <c r="AG33" s="54">
        <f>AG5*(1-Inputs!$B$9)*Inputs!$B$35+AG5*Inputs!$B$9*Inputs!$B$36+AG9*Inputs!$B$37</f>
        <v>9972000</v>
      </c>
      <c r="AH33" s="54">
        <f>AH5*(1-Inputs!$B$9)*Inputs!$B$35+AH5*Inputs!$B$9*Inputs!$B$36+AH9*Inputs!$B$37</f>
        <v>10368000</v>
      </c>
      <c r="AI33" s="54">
        <f>AI5*(1-Inputs!$B$9)*Inputs!$B$35+AI5*Inputs!$B$9*Inputs!$B$36+AI9*Inputs!$B$37</f>
        <v>10800000</v>
      </c>
      <c r="AJ33" s="54">
        <f>AJ5*(1-Inputs!$B$9)*Inputs!$B$35+AJ5*Inputs!$B$9*Inputs!$B$36+AJ9*Inputs!$B$37</f>
        <v>11250000</v>
      </c>
      <c r="AK33" s="54">
        <f>AK5*(1-Inputs!$B$9)*Inputs!$B$35+AK5*Inputs!$B$9*Inputs!$B$36+AK9*Inputs!$B$37</f>
        <v>11736000</v>
      </c>
      <c r="AL33" s="54">
        <f t="shared" si="6"/>
        <v>235566000</v>
      </c>
    </row>
    <row r="34" spans="1:38" x14ac:dyDescent="0.25">
      <c r="A34" s="2" t="s">
        <v>196</v>
      </c>
      <c r="B34" s="54">
        <f t="shared" ref="B34:AK34" si="7">SUM(B29:B33)</f>
        <v>31377542</v>
      </c>
      <c r="C34" s="54">
        <f t="shared" si="7"/>
        <v>31467542</v>
      </c>
      <c r="D34" s="54">
        <f t="shared" si="7"/>
        <v>35157542</v>
      </c>
      <c r="E34" s="54">
        <f t="shared" si="7"/>
        <v>33465542</v>
      </c>
      <c r="F34" s="54">
        <f t="shared" si="7"/>
        <v>33573542</v>
      </c>
      <c r="G34" s="54">
        <f t="shared" si="7"/>
        <v>33681542</v>
      </c>
      <c r="H34" s="54">
        <f t="shared" si="7"/>
        <v>33789542</v>
      </c>
      <c r="I34" s="54">
        <f t="shared" si="7"/>
        <v>33915542</v>
      </c>
      <c r="J34" s="54">
        <f t="shared" si="7"/>
        <v>34041542</v>
      </c>
      <c r="K34" s="54">
        <f t="shared" si="7"/>
        <v>34167542</v>
      </c>
      <c r="L34" s="54">
        <f t="shared" si="7"/>
        <v>34311542</v>
      </c>
      <c r="M34" s="54">
        <f t="shared" si="7"/>
        <v>34455542</v>
      </c>
      <c r="N34" s="54">
        <f t="shared" si="7"/>
        <v>34617542</v>
      </c>
      <c r="O34" s="54">
        <f t="shared" si="7"/>
        <v>34779542</v>
      </c>
      <c r="P34" s="54">
        <f t="shared" si="7"/>
        <v>34941542</v>
      </c>
      <c r="Q34" s="54">
        <f t="shared" si="7"/>
        <v>35121542</v>
      </c>
      <c r="R34" s="54">
        <f t="shared" si="7"/>
        <v>35301542</v>
      </c>
      <c r="S34" s="54">
        <f t="shared" si="7"/>
        <v>35499542</v>
      </c>
      <c r="T34" s="54">
        <f t="shared" si="7"/>
        <v>35715542</v>
      </c>
      <c r="U34" s="54">
        <f t="shared" si="7"/>
        <v>35931542</v>
      </c>
      <c r="V34" s="54">
        <f t="shared" si="7"/>
        <v>36147542</v>
      </c>
      <c r="W34" s="54">
        <f t="shared" si="7"/>
        <v>36399542</v>
      </c>
      <c r="X34" s="54">
        <f t="shared" si="7"/>
        <v>36651542</v>
      </c>
      <c r="Y34" s="54">
        <f t="shared" si="7"/>
        <v>36903542</v>
      </c>
      <c r="Z34" s="54">
        <f t="shared" si="7"/>
        <v>37191542</v>
      </c>
      <c r="AA34" s="54">
        <f t="shared" si="7"/>
        <v>37479542</v>
      </c>
      <c r="AB34" s="54">
        <f t="shared" si="7"/>
        <v>37785542</v>
      </c>
      <c r="AC34" s="54">
        <f t="shared" si="7"/>
        <v>38091542</v>
      </c>
      <c r="AD34" s="54">
        <f t="shared" si="7"/>
        <v>38433542</v>
      </c>
      <c r="AE34" s="54">
        <f t="shared" si="7"/>
        <v>38793542</v>
      </c>
      <c r="AF34" s="54">
        <f t="shared" si="7"/>
        <v>39153542</v>
      </c>
      <c r="AG34" s="54">
        <f t="shared" si="7"/>
        <v>39549542</v>
      </c>
      <c r="AH34" s="54">
        <f t="shared" si="7"/>
        <v>39945542</v>
      </c>
      <c r="AI34" s="54">
        <f t="shared" si="7"/>
        <v>40377542</v>
      </c>
      <c r="AJ34" s="54">
        <f t="shared" si="7"/>
        <v>40827542</v>
      </c>
      <c r="AK34" s="54">
        <f t="shared" si="7"/>
        <v>41313542</v>
      </c>
      <c r="AL34" s="54">
        <f t="shared" si="6"/>
        <v>1300357512</v>
      </c>
    </row>
    <row r="35" spans="1:38" x14ac:dyDescent="0.25">
      <c r="A35" s="66" t="s">
        <v>391</v>
      </c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8"/>
    </row>
    <row r="36" spans="1:38" x14ac:dyDescent="0.25">
      <c r="A36" s="1" t="s">
        <v>443</v>
      </c>
      <c r="B36" s="54">
        <f t="shared" ref="B36:AK36" si="8">B25-B34</f>
        <v>-28835562</v>
      </c>
      <c r="C36" s="54">
        <f t="shared" si="8"/>
        <v>-27943007</v>
      </c>
      <c r="D36" s="54">
        <f t="shared" si="8"/>
        <v>-29267672</v>
      </c>
      <c r="E36" s="54">
        <f t="shared" si="8"/>
        <v>-25866907</v>
      </c>
      <c r="F36" s="54">
        <f t="shared" si="8"/>
        <v>-24222712</v>
      </c>
      <c r="G36" s="54">
        <f t="shared" si="8"/>
        <v>-22587127</v>
      </c>
      <c r="H36" s="54">
        <f t="shared" si="8"/>
        <v>-20903807</v>
      </c>
      <c r="I36" s="54">
        <f t="shared" si="8"/>
        <v>-19238487</v>
      </c>
      <c r="J36" s="54">
        <f t="shared" si="8"/>
        <v>-17525432</v>
      </c>
      <c r="K36" s="54">
        <f t="shared" si="8"/>
        <v>-15812377</v>
      </c>
      <c r="L36" s="54">
        <f t="shared" si="8"/>
        <v>-14117322</v>
      </c>
      <c r="M36" s="54">
        <f t="shared" si="8"/>
        <v>-12365922</v>
      </c>
      <c r="N36" s="54">
        <f t="shared" si="8"/>
        <v>-10628217</v>
      </c>
      <c r="O36" s="54">
        <f t="shared" si="8"/>
        <v>-8829862</v>
      </c>
      <c r="P36" s="54">
        <f t="shared" si="8"/>
        <v>-7027202</v>
      </c>
      <c r="Q36" s="54">
        <f t="shared" si="8"/>
        <v>-5186197</v>
      </c>
      <c r="R36" s="54">
        <f t="shared" si="8"/>
        <v>-3284542</v>
      </c>
      <c r="S36" s="54">
        <f t="shared" si="8"/>
        <v>-1392277</v>
      </c>
      <c r="T36" s="54">
        <f t="shared" si="8"/>
        <v>-153057</v>
      </c>
      <c r="U36" s="54">
        <f t="shared" si="8"/>
        <v>1146813</v>
      </c>
      <c r="V36" s="54">
        <f t="shared" si="8"/>
        <v>2507333</v>
      </c>
      <c r="W36" s="54">
        <f t="shared" si="8"/>
        <v>3901113</v>
      </c>
      <c r="X36" s="54">
        <f t="shared" si="8"/>
        <v>5359848</v>
      </c>
      <c r="Y36" s="54">
        <f t="shared" si="8"/>
        <v>6831498</v>
      </c>
      <c r="Z36" s="54">
        <f t="shared" si="8"/>
        <v>8388448</v>
      </c>
      <c r="AA36" s="54">
        <f t="shared" si="8"/>
        <v>10010353</v>
      </c>
      <c r="AB36" s="54">
        <f t="shared" si="8"/>
        <v>11683518</v>
      </c>
      <c r="AC36" s="54">
        <f t="shared" si="8"/>
        <v>13425943</v>
      </c>
      <c r="AD36" s="54">
        <f t="shared" si="8"/>
        <v>15253668</v>
      </c>
      <c r="AE36" s="54">
        <f t="shared" si="8"/>
        <v>17136958</v>
      </c>
      <c r="AF36" s="54">
        <f t="shared" si="8"/>
        <v>19145853</v>
      </c>
      <c r="AG36" s="54">
        <f t="shared" si="8"/>
        <v>21192313</v>
      </c>
      <c r="AH36" s="54">
        <f t="shared" si="8"/>
        <v>23364378</v>
      </c>
      <c r="AI36" s="54">
        <f t="shared" si="8"/>
        <v>25626048</v>
      </c>
      <c r="AJ36" s="54">
        <f t="shared" si="8"/>
        <v>27999628</v>
      </c>
      <c r="AK36" s="54">
        <f t="shared" si="8"/>
        <v>30471423</v>
      </c>
      <c r="AL36" s="54">
        <f>SUM(B36:AK36)</f>
        <v>-51742552</v>
      </c>
    </row>
    <row r="37" spans="1:38" x14ac:dyDescent="0.25">
      <c r="A37" s="2" t="s">
        <v>444</v>
      </c>
      <c r="B37" s="44">
        <f t="shared" ref="B37:AL37" si="9">IFERROR(B36/B17,0)</f>
        <v>-6.1027644444444444</v>
      </c>
      <c r="C37" s="44">
        <f t="shared" si="9"/>
        <v>-4.3747417943278508</v>
      </c>
      <c r="D37" s="44">
        <f t="shared" si="9"/>
        <v>-3.110967591067082</v>
      </c>
      <c r="E37" s="44">
        <f t="shared" si="9"/>
        <v>-2.1954131850877379</v>
      </c>
      <c r="F37" s="44">
        <f t="shared" si="9"/>
        <v>-1.7045763666047402</v>
      </c>
      <c r="G37" s="44">
        <f t="shared" si="9"/>
        <v>-1.3592251010221059</v>
      </c>
      <c r="H37" s="44">
        <f t="shared" si="9"/>
        <v>-1.0950622212094305</v>
      </c>
      <c r="I37" s="44">
        <f t="shared" si="9"/>
        <v>-0.89229624338783853</v>
      </c>
      <c r="J37" s="44">
        <f t="shared" si="9"/>
        <v>-0.72730499161700501</v>
      </c>
      <c r="K37" s="44">
        <f t="shared" si="9"/>
        <v>-0.59373265019910149</v>
      </c>
      <c r="L37" s="44">
        <f t="shared" si="9"/>
        <v>-0.48400200220104977</v>
      </c>
      <c r="M37" s="44">
        <f t="shared" si="9"/>
        <v>-0.38900247886047917</v>
      </c>
      <c r="N37" s="44">
        <f t="shared" si="9"/>
        <v>-0.30877892745964208</v>
      </c>
      <c r="O37" s="44">
        <f t="shared" si="9"/>
        <v>-0.23769990120359327</v>
      </c>
      <c r="P37" s="44">
        <f t="shared" si="9"/>
        <v>-0.17618879514598404</v>
      </c>
      <c r="Q37" s="44">
        <f t="shared" si="9"/>
        <v>-0.1214365543862196</v>
      </c>
      <c r="R37" s="44">
        <f t="shared" si="9"/>
        <v>-7.1989646072784338E-2</v>
      </c>
      <c r="S37" s="44">
        <f t="shared" si="9"/>
        <v>-2.866876354520043E-2</v>
      </c>
      <c r="T37" s="44">
        <f t="shared" si="9"/>
        <v>-3.0064614849727995E-3</v>
      </c>
      <c r="U37" s="44">
        <f t="shared" si="9"/>
        <v>2.1496006095589413E-2</v>
      </c>
      <c r="V37" s="44">
        <f t="shared" si="9"/>
        <v>4.4864855192725948E-2</v>
      </c>
      <c r="W37" s="44">
        <f t="shared" si="9"/>
        <v>6.66410940370675E-2</v>
      </c>
      <c r="X37" s="44">
        <f t="shared" si="9"/>
        <v>8.7439198668798332E-2</v>
      </c>
      <c r="Y37" s="44">
        <f t="shared" si="9"/>
        <v>0.10659525466466525</v>
      </c>
      <c r="Z37" s="44">
        <f t="shared" si="9"/>
        <v>0.12507079213235206</v>
      </c>
      <c r="AA37" s="44">
        <f t="shared" si="9"/>
        <v>0.14268491904947542</v>
      </c>
      <c r="AB37" s="44">
        <f t="shared" si="9"/>
        <v>0.15926061531331362</v>
      </c>
      <c r="AC37" s="44">
        <f t="shared" si="9"/>
        <v>0.17508723426591438</v>
      </c>
      <c r="AD37" s="44">
        <f t="shared" si="9"/>
        <v>0.19021172644529266</v>
      </c>
      <c r="AE37" s="44">
        <f t="shared" si="9"/>
        <v>0.20442097679040266</v>
      </c>
      <c r="AF37" s="44">
        <f t="shared" si="9"/>
        <v>0.21838059949619007</v>
      </c>
      <c r="AG37" s="44">
        <f t="shared" si="9"/>
        <v>0.23125828862445799</v>
      </c>
      <c r="AH37" s="44">
        <f t="shared" si="9"/>
        <v>0.24386667084168337</v>
      </c>
      <c r="AI37" s="44">
        <f t="shared" si="9"/>
        <v>0.25580387009188599</v>
      </c>
      <c r="AJ37" s="44">
        <f t="shared" si="9"/>
        <v>0.26727122949262655</v>
      </c>
      <c r="AK37" s="44">
        <f t="shared" si="9"/>
        <v>0.27810957297525468</v>
      </c>
      <c r="AL37" s="44">
        <f t="shared" si="9"/>
        <v>-2.798704329794216E-2</v>
      </c>
    </row>
    <row r="38" spans="1:38" x14ac:dyDescent="0.25">
      <c r="A38" s="1" t="s">
        <v>394</v>
      </c>
      <c r="B38" s="54">
        <f>Inputs!$B$47/Inputs!$B$48</f>
        <v>6057976.888888889</v>
      </c>
      <c r="C38" s="54">
        <f>Inputs!$B$47/Inputs!$B$48</f>
        <v>6057976.888888889</v>
      </c>
      <c r="D38" s="54">
        <f>Inputs!$B$47/Inputs!$B$48</f>
        <v>6057976.888888889</v>
      </c>
      <c r="E38" s="54">
        <f>Inputs!$B$47/Inputs!$B$48</f>
        <v>6057976.888888889</v>
      </c>
      <c r="F38" s="54">
        <f>Inputs!$B$47/Inputs!$B$48</f>
        <v>6057976.888888889</v>
      </c>
      <c r="G38" s="54">
        <f>Inputs!$B$47/Inputs!$B$48</f>
        <v>6057976.888888889</v>
      </c>
      <c r="H38" s="54">
        <f>Inputs!$B$47/Inputs!$B$48</f>
        <v>6057976.888888889</v>
      </c>
      <c r="I38" s="54">
        <f>Inputs!$B$47/Inputs!$B$48</f>
        <v>6057976.888888889</v>
      </c>
      <c r="J38" s="54">
        <f>Inputs!$B$47/Inputs!$B$48</f>
        <v>6057976.888888889</v>
      </c>
      <c r="K38" s="54">
        <f>Inputs!$B$47/Inputs!$B$48</f>
        <v>6057976.888888889</v>
      </c>
      <c r="L38" s="54">
        <f>Inputs!$B$47/Inputs!$B$48</f>
        <v>6057976.888888889</v>
      </c>
      <c r="M38" s="54">
        <f>Inputs!$B$47/Inputs!$B$48</f>
        <v>6057976.888888889</v>
      </c>
      <c r="N38" s="54">
        <f>Inputs!$B$47/Inputs!$B$48</f>
        <v>6057976.888888889</v>
      </c>
      <c r="O38" s="54">
        <f>Inputs!$B$47/Inputs!$B$48</f>
        <v>6057976.888888889</v>
      </c>
      <c r="P38" s="54">
        <f>Inputs!$B$47/Inputs!$B$48</f>
        <v>6057976.888888889</v>
      </c>
      <c r="Q38" s="54">
        <f>Inputs!$B$47/Inputs!$B$48</f>
        <v>6057976.888888889</v>
      </c>
      <c r="R38" s="54">
        <f>Inputs!$B$47/Inputs!$B$48</f>
        <v>6057976.888888889</v>
      </c>
      <c r="S38" s="54">
        <f>Inputs!$B$47/Inputs!$B$48</f>
        <v>6057976.888888889</v>
      </c>
      <c r="T38" s="54">
        <f>Inputs!$B$47/Inputs!$B$48</f>
        <v>6057976.888888889</v>
      </c>
      <c r="U38" s="54">
        <f>Inputs!$B$47/Inputs!$B$48</f>
        <v>6057976.888888889</v>
      </c>
      <c r="V38" s="54">
        <f>Inputs!$B$47/Inputs!$B$48</f>
        <v>6057976.888888889</v>
      </c>
      <c r="W38" s="54">
        <f>Inputs!$B$47/Inputs!$B$48</f>
        <v>6057976.888888889</v>
      </c>
      <c r="X38" s="54">
        <f>Inputs!$B$47/Inputs!$B$48</f>
        <v>6057976.888888889</v>
      </c>
      <c r="Y38" s="54">
        <f>Inputs!$B$47/Inputs!$B$48</f>
        <v>6057976.888888889</v>
      </c>
      <c r="Z38" s="54">
        <f>Inputs!$B$47/Inputs!$B$48</f>
        <v>6057976.888888889</v>
      </c>
      <c r="AA38" s="54">
        <f>Inputs!$B$47/Inputs!$B$48</f>
        <v>6057976.888888889</v>
      </c>
      <c r="AB38" s="54">
        <f>Inputs!$B$47/Inputs!$B$48</f>
        <v>6057976.888888889</v>
      </c>
      <c r="AC38" s="54">
        <f>Inputs!$B$47/Inputs!$B$48</f>
        <v>6057976.888888889</v>
      </c>
      <c r="AD38" s="54">
        <f>Inputs!$B$47/Inputs!$B$48</f>
        <v>6057976.888888889</v>
      </c>
      <c r="AE38" s="54">
        <f>Inputs!$B$47/Inputs!$B$48</f>
        <v>6057976.888888889</v>
      </c>
      <c r="AF38" s="54">
        <f>Inputs!$B$47/Inputs!$B$48</f>
        <v>6057976.888888889</v>
      </c>
      <c r="AG38" s="54">
        <f>Inputs!$B$47/Inputs!$B$48</f>
        <v>6057976.888888889</v>
      </c>
      <c r="AH38" s="54">
        <f>Inputs!$B$47/Inputs!$B$48</f>
        <v>6057976.888888889</v>
      </c>
      <c r="AI38" s="54">
        <f>Inputs!$B$47/Inputs!$B$48</f>
        <v>6057976.888888889</v>
      </c>
      <c r="AJ38" s="54">
        <f>Inputs!$B$47/Inputs!$B$48</f>
        <v>6057976.888888889</v>
      </c>
      <c r="AK38" s="54">
        <f>Inputs!$B$47/Inputs!$B$48</f>
        <v>6057976.888888889</v>
      </c>
      <c r="AL38" s="54">
        <f>SUM(B38:AK38)</f>
        <v>218087168.00000015</v>
      </c>
    </row>
    <row r="39" spans="1:38" x14ac:dyDescent="0.25">
      <c r="A39" s="1" t="s">
        <v>445</v>
      </c>
      <c r="B39" s="54">
        <f t="shared" ref="B39:AK39" si="10">B36-B38</f>
        <v>-34893538.888888888</v>
      </c>
      <c r="C39" s="54">
        <f t="shared" si="10"/>
        <v>-34000983.888888888</v>
      </c>
      <c r="D39" s="54">
        <f t="shared" si="10"/>
        <v>-35325648.888888888</v>
      </c>
      <c r="E39" s="54">
        <f t="shared" si="10"/>
        <v>-31924883.888888888</v>
      </c>
      <c r="F39" s="54">
        <f t="shared" si="10"/>
        <v>-30280688.888888888</v>
      </c>
      <c r="G39" s="54">
        <f t="shared" si="10"/>
        <v>-28645103.888888888</v>
      </c>
      <c r="H39" s="54">
        <f t="shared" si="10"/>
        <v>-26961783.888888888</v>
      </c>
      <c r="I39" s="54">
        <f t="shared" si="10"/>
        <v>-25296463.888888888</v>
      </c>
      <c r="J39" s="54">
        <f t="shared" si="10"/>
        <v>-23583408.888888888</v>
      </c>
      <c r="K39" s="54">
        <f t="shared" si="10"/>
        <v>-21870353.888888888</v>
      </c>
      <c r="L39" s="54">
        <f t="shared" si="10"/>
        <v>-20175298.888888888</v>
      </c>
      <c r="M39" s="54">
        <f t="shared" si="10"/>
        <v>-18423898.888888888</v>
      </c>
      <c r="N39" s="54">
        <f t="shared" si="10"/>
        <v>-16686193.888888888</v>
      </c>
      <c r="O39" s="54">
        <f t="shared" si="10"/>
        <v>-14887838.888888888</v>
      </c>
      <c r="P39" s="54">
        <f t="shared" si="10"/>
        <v>-13085178.888888888</v>
      </c>
      <c r="Q39" s="54">
        <f t="shared" si="10"/>
        <v>-11244173.888888888</v>
      </c>
      <c r="R39" s="54">
        <f t="shared" si="10"/>
        <v>-9342518.8888888881</v>
      </c>
      <c r="S39" s="54">
        <f t="shared" si="10"/>
        <v>-7450253.888888889</v>
      </c>
      <c r="T39" s="54">
        <f t="shared" si="10"/>
        <v>-6211033.888888889</v>
      </c>
      <c r="U39" s="54">
        <f t="shared" si="10"/>
        <v>-4911163.888888889</v>
      </c>
      <c r="V39" s="54">
        <f t="shared" si="10"/>
        <v>-3550643.888888889</v>
      </c>
      <c r="W39" s="54">
        <f t="shared" si="10"/>
        <v>-2156863.888888889</v>
      </c>
      <c r="X39" s="54">
        <f t="shared" si="10"/>
        <v>-698128.88888888899</v>
      </c>
      <c r="Y39" s="54">
        <f t="shared" si="10"/>
        <v>773521.11111111101</v>
      </c>
      <c r="Z39" s="54">
        <f t="shared" si="10"/>
        <v>2330471.111111111</v>
      </c>
      <c r="AA39" s="54">
        <f t="shared" si="10"/>
        <v>3952376.111111111</v>
      </c>
      <c r="AB39" s="54">
        <f t="shared" si="10"/>
        <v>5625541.111111111</v>
      </c>
      <c r="AC39" s="54">
        <f t="shared" si="10"/>
        <v>7367966.111111111</v>
      </c>
      <c r="AD39" s="54">
        <f t="shared" si="10"/>
        <v>9195691.1111111119</v>
      </c>
      <c r="AE39" s="54">
        <f t="shared" si="10"/>
        <v>11078981.111111112</v>
      </c>
      <c r="AF39" s="54">
        <f t="shared" si="10"/>
        <v>13087876.111111112</v>
      </c>
      <c r="AG39" s="54">
        <f t="shared" si="10"/>
        <v>15134336.111111112</v>
      </c>
      <c r="AH39" s="54">
        <f t="shared" si="10"/>
        <v>17306401.111111112</v>
      </c>
      <c r="AI39" s="54">
        <f t="shared" si="10"/>
        <v>19568071.111111112</v>
      </c>
      <c r="AJ39" s="54">
        <f t="shared" si="10"/>
        <v>21941651.111111112</v>
      </c>
      <c r="AK39" s="54">
        <f t="shared" si="10"/>
        <v>24413446.111111112</v>
      </c>
      <c r="AL39" s="54">
        <f>SUM(B39:AK39)</f>
        <v>-269829720.00000018</v>
      </c>
    </row>
    <row r="40" spans="1:38" x14ac:dyDescent="0.25">
      <c r="A40" s="1" t="s">
        <v>446</v>
      </c>
      <c r="B40" s="54">
        <f>IF(B39&gt;0,B39*Inputs!$B$52,0)</f>
        <v>0</v>
      </c>
      <c r="C40" s="54">
        <f>IF(C39&gt;0,C39*Inputs!$B$52,0)</f>
        <v>0</v>
      </c>
      <c r="D40" s="54">
        <f>IF(D39&gt;0,D39*Inputs!$B$52,0)</f>
        <v>0</v>
      </c>
      <c r="E40" s="54">
        <f>IF(E39&gt;0,E39*Inputs!$B$52,0)</f>
        <v>0</v>
      </c>
      <c r="F40" s="54">
        <f>IF(F39&gt;0,F39*Inputs!$B$52,0)</f>
        <v>0</v>
      </c>
      <c r="G40" s="54">
        <f>IF(G39&gt;0,G39*Inputs!$B$52,0)</f>
        <v>0</v>
      </c>
      <c r="H40" s="54">
        <f>IF(H39&gt;0,H39*Inputs!$B$52,0)</f>
        <v>0</v>
      </c>
      <c r="I40" s="54">
        <f>IF(I39&gt;0,I39*Inputs!$B$52,0)</f>
        <v>0</v>
      </c>
      <c r="J40" s="54">
        <f>IF(J39&gt;0,J39*Inputs!$B$52,0)</f>
        <v>0</v>
      </c>
      <c r="K40" s="54">
        <f>IF(K39&gt;0,K39*Inputs!$B$52,0)</f>
        <v>0</v>
      </c>
      <c r="L40" s="54">
        <f>IF(L39&gt;0,L39*Inputs!$B$52,0)</f>
        <v>0</v>
      </c>
      <c r="M40" s="54">
        <f>IF(M39&gt;0,M39*Inputs!$B$52,0)</f>
        <v>0</v>
      </c>
      <c r="N40" s="54">
        <f>IF(N39&gt;0,N39*Inputs!$B$52,0)</f>
        <v>0</v>
      </c>
      <c r="O40" s="54">
        <f>IF(O39&gt;0,O39*Inputs!$B$52,0)</f>
        <v>0</v>
      </c>
      <c r="P40" s="54">
        <f>IF(P39&gt;0,P39*Inputs!$B$52,0)</f>
        <v>0</v>
      </c>
      <c r="Q40" s="54">
        <f>IF(Q39&gt;0,Q39*Inputs!$B$52,0)</f>
        <v>0</v>
      </c>
      <c r="R40" s="54">
        <f>IF(R39&gt;0,R39*Inputs!$B$52,0)</f>
        <v>0</v>
      </c>
      <c r="S40" s="54">
        <f>IF(S39&gt;0,S39*Inputs!$B$52,0)</f>
        <v>0</v>
      </c>
      <c r="T40" s="54">
        <f>IF(T39&gt;0,T39*Inputs!$B$52,0)</f>
        <v>0</v>
      </c>
      <c r="U40" s="54">
        <f>IF(U39&gt;0,U39*Inputs!$B$52,0)</f>
        <v>0</v>
      </c>
      <c r="V40" s="54">
        <f>IF(V39&gt;0,V39*Inputs!$B$52,0)</f>
        <v>0</v>
      </c>
      <c r="W40" s="54">
        <f>IF(W39&gt;0,W39*Inputs!$B$52,0)</f>
        <v>0</v>
      </c>
      <c r="X40" s="54">
        <f>IF(X39&gt;0,X39*Inputs!$B$52,0)</f>
        <v>0</v>
      </c>
      <c r="Y40" s="54">
        <f>IF(Y39&gt;0,Y39*Inputs!$B$52,0)</f>
        <v>255261.96666666665</v>
      </c>
      <c r="Z40" s="54">
        <f>IF(Z39&gt;0,Z39*Inputs!$B$52,0)</f>
        <v>769055.46666666667</v>
      </c>
      <c r="AA40" s="54">
        <f>IF(AA39&gt;0,AA39*Inputs!$B$52,0)</f>
        <v>1304284.1166666667</v>
      </c>
      <c r="AB40" s="54">
        <f>IF(AB39&gt;0,AB39*Inputs!$B$52,0)</f>
        <v>1856428.5666666667</v>
      </c>
      <c r="AC40" s="54">
        <f>IF(AC39&gt;0,AC39*Inputs!$B$52,0)</f>
        <v>2431428.8166666669</v>
      </c>
      <c r="AD40" s="54">
        <f>IF(AD39&gt;0,AD39*Inputs!$B$52,0)</f>
        <v>3034578.0666666669</v>
      </c>
      <c r="AE40" s="54">
        <f>IF(AE39&gt;0,AE39*Inputs!$B$52,0)</f>
        <v>3656063.7666666671</v>
      </c>
      <c r="AF40" s="54">
        <f>IF(AF39&gt;0,AF39*Inputs!$B$52,0)</f>
        <v>4318999.1166666672</v>
      </c>
      <c r="AG40" s="54">
        <f>IF(AG39&gt;0,AG39*Inputs!$B$52,0)</f>
        <v>4994330.916666667</v>
      </c>
      <c r="AH40" s="54">
        <f>IF(AH39&gt;0,AH39*Inputs!$B$52,0)</f>
        <v>5711112.3666666672</v>
      </c>
      <c r="AI40" s="54">
        <f>IF(AI39&gt;0,AI39*Inputs!$B$52,0)</f>
        <v>6457463.4666666668</v>
      </c>
      <c r="AJ40" s="54">
        <f>IF(AJ39&gt;0,AJ39*Inputs!$B$52,0)</f>
        <v>7240744.8666666672</v>
      </c>
      <c r="AK40" s="54">
        <f>IF(AK39&gt;0,AK39*Inputs!$B$52,0)</f>
        <v>8056437.2166666677</v>
      </c>
      <c r="AL40" s="54">
        <f>SUM(B40:AK40)</f>
        <v>50086188.716666669</v>
      </c>
    </row>
    <row r="41" spans="1:38" x14ac:dyDescent="0.25">
      <c r="A41" s="2" t="s">
        <v>397</v>
      </c>
      <c r="B41" s="54">
        <f t="shared" ref="B41:AK41" si="11">B39-B40</f>
        <v>-34893538.888888888</v>
      </c>
      <c r="C41" s="54">
        <f t="shared" si="11"/>
        <v>-34000983.888888888</v>
      </c>
      <c r="D41" s="54">
        <f t="shared" si="11"/>
        <v>-35325648.888888888</v>
      </c>
      <c r="E41" s="54">
        <f t="shared" si="11"/>
        <v>-31924883.888888888</v>
      </c>
      <c r="F41" s="54">
        <f t="shared" si="11"/>
        <v>-30280688.888888888</v>
      </c>
      <c r="G41" s="54">
        <f t="shared" si="11"/>
        <v>-28645103.888888888</v>
      </c>
      <c r="H41" s="54">
        <f t="shared" si="11"/>
        <v>-26961783.888888888</v>
      </c>
      <c r="I41" s="54">
        <f t="shared" si="11"/>
        <v>-25296463.888888888</v>
      </c>
      <c r="J41" s="54">
        <f t="shared" si="11"/>
        <v>-23583408.888888888</v>
      </c>
      <c r="K41" s="54">
        <f t="shared" si="11"/>
        <v>-21870353.888888888</v>
      </c>
      <c r="L41" s="54">
        <f t="shared" si="11"/>
        <v>-20175298.888888888</v>
      </c>
      <c r="M41" s="54">
        <f t="shared" si="11"/>
        <v>-18423898.888888888</v>
      </c>
      <c r="N41" s="54">
        <f t="shared" si="11"/>
        <v>-16686193.888888888</v>
      </c>
      <c r="O41" s="54">
        <f t="shared" si="11"/>
        <v>-14887838.888888888</v>
      </c>
      <c r="P41" s="54">
        <f t="shared" si="11"/>
        <v>-13085178.888888888</v>
      </c>
      <c r="Q41" s="54">
        <f t="shared" si="11"/>
        <v>-11244173.888888888</v>
      </c>
      <c r="R41" s="54">
        <f t="shared" si="11"/>
        <v>-9342518.8888888881</v>
      </c>
      <c r="S41" s="54">
        <f t="shared" si="11"/>
        <v>-7450253.888888889</v>
      </c>
      <c r="T41" s="54">
        <f t="shared" si="11"/>
        <v>-6211033.888888889</v>
      </c>
      <c r="U41" s="54">
        <f t="shared" si="11"/>
        <v>-4911163.888888889</v>
      </c>
      <c r="V41" s="54">
        <f t="shared" si="11"/>
        <v>-3550643.888888889</v>
      </c>
      <c r="W41" s="54">
        <f t="shared" si="11"/>
        <v>-2156863.888888889</v>
      </c>
      <c r="X41" s="54">
        <f t="shared" si="11"/>
        <v>-698128.88888888899</v>
      </c>
      <c r="Y41" s="54">
        <f t="shared" si="11"/>
        <v>518259.14444444433</v>
      </c>
      <c r="Z41" s="54">
        <f t="shared" si="11"/>
        <v>1561415.6444444442</v>
      </c>
      <c r="AA41" s="54">
        <f t="shared" si="11"/>
        <v>2648091.9944444443</v>
      </c>
      <c r="AB41" s="54">
        <f t="shared" si="11"/>
        <v>3769112.5444444446</v>
      </c>
      <c r="AC41" s="54">
        <f t="shared" si="11"/>
        <v>4936537.2944444437</v>
      </c>
      <c r="AD41" s="54">
        <f t="shared" si="11"/>
        <v>6161113.0444444455</v>
      </c>
      <c r="AE41" s="54">
        <f t="shared" si="11"/>
        <v>7422917.3444444444</v>
      </c>
      <c r="AF41" s="54">
        <f t="shared" si="11"/>
        <v>8768876.9944444448</v>
      </c>
      <c r="AG41" s="54">
        <f t="shared" si="11"/>
        <v>10140005.194444444</v>
      </c>
      <c r="AH41" s="54">
        <f t="shared" si="11"/>
        <v>11595288.744444445</v>
      </c>
      <c r="AI41" s="54">
        <f t="shared" si="11"/>
        <v>13110607.644444445</v>
      </c>
      <c r="AJ41" s="54">
        <f t="shared" si="11"/>
        <v>14700906.244444445</v>
      </c>
      <c r="AK41" s="54">
        <f t="shared" si="11"/>
        <v>16357008.894444443</v>
      </c>
      <c r="AL41" s="54">
        <f>SUM(B41:AK41)</f>
        <v>-319915908.71666676</v>
      </c>
    </row>
    <row r="42" spans="1:38" x14ac:dyDescent="0.25">
      <c r="A42" s="1" t="s">
        <v>398</v>
      </c>
      <c r="B42" s="44">
        <f t="shared" ref="B42:AL42" si="12">IFERROR(B41/B17,0)</f>
        <v>-7.3848759553203998</v>
      </c>
      <c r="C42" s="44">
        <f t="shared" si="12"/>
        <v>-5.3231753213600141</v>
      </c>
      <c r="D42" s="44">
        <f t="shared" si="12"/>
        <v>-3.7548920469912401</v>
      </c>
      <c r="E42" s="44">
        <f t="shared" si="12"/>
        <v>-2.7095744776158108</v>
      </c>
      <c r="F42" s="44">
        <f t="shared" si="12"/>
        <v>-2.1308822333564774</v>
      </c>
      <c r="G42" s="44">
        <f t="shared" si="12"/>
        <v>-1.7237758581320999</v>
      </c>
      <c r="H42" s="44">
        <f t="shared" si="12"/>
        <v>-1.4124140618565462</v>
      </c>
      <c r="I42" s="44">
        <f t="shared" si="12"/>
        <v>-1.1732700029400267</v>
      </c>
      <c r="J42" s="44">
        <f t="shared" si="12"/>
        <v>-0.97871088166235987</v>
      </c>
      <c r="K42" s="44">
        <f t="shared" si="12"/>
        <v>-0.82120121315360906</v>
      </c>
      <c r="L42" s="44">
        <f t="shared" si="12"/>
        <v>-0.69169528450415996</v>
      </c>
      <c r="M42" s="44">
        <f t="shared" si="12"/>
        <v>-0.57957201558060978</v>
      </c>
      <c r="N42" s="44">
        <f t="shared" si="12"/>
        <v>-0.4847798132456973</v>
      </c>
      <c r="O42" s="44">
        <f t="shared" si="12"/>
        <v>-0.40078065014197306</v>
      </c>
      <c r="P42" s="44">
        <f t="shared" si="12"/>
        <v>-0.32807679396479555</v>
      </c>
      <c r="Q42" s="44">
        <f t="shared" si="12"/>
        <v>-0.26328612931328405</v>
      </c>
      <c r="R42" s="44">
        <f t="shared" si="12"/>
        <v>-0.20476663968352771</v>
      </c>
      <c r="S42" s="44">
        <f t="shared" si="12"/>
        <v>-0.15341025319836896</v>
      </c>
      <c r="T42" s="44">
        <f t="shared" si="12"/>
        <v>-0.12200183048671588</v>
      </c>
      <c r="U42" s="44">
        <f t="shared" si="12"/>
        <v>-9.2055469280514057E-2</v>
      </c>
      <c r="V42" s="44">
        <f t="shared" si="12"/>
        <v>-6.3533293709266914E-2</v>
      </c>
      <c r="W42" s="44">
        <f t="shared" si="12"/>
        <v>-3.6844810505258258E-2</v>
      </c>
      <c r="X42" s="44">
        <f t="shared" si="12"/>
        <v>-1.138909734230952E-2</v>
      </c>
      <c r="Y42" s="44">
        <f t="shared" si="12"/>
        <v>8.0866547109209545E-3</v>
      </c>
      <c r="Z42" s="44">
        <f t="shared" si="12"/>
        <v>2.328052716050855E-2</v>
      </c>
      <c r="AA42" s="44">
        <f t="shared" si="12"/>
        <v>3.7745201579092114E-2</v>
      </c>
      <c r="AB42" s="44">
        <f t="shared" si="12"/>
        <v>5.1377605872935821E-2</v>
      </c>
      <c r="AC42" s="44">
        <f t="shared" si="12"/>
        <v>6.4377203279860296E-2</v>
      </c>
      <c r="AD42" s="44">
        <f t="shared" si="12"/>
        <v>7.6828468340099654E-2</v>
      </c>
      <c r="AE42" s="44">
        <f t="shared" si="12"/>
        <v>8.8545470799762438E-2</v>
      </c>
      <c r="AF42" s="44">
        <f t="shared" si="12"/>
        <v>0.10001918509220389</v>
      </c>
      <c r="AG42" s="44">
        <f t="shared" si="12"/>
        <v>0.11065145403950652</v>
      </c>
      <c r="AH42" s="44">
        <f t="shared" si="12"/>
        <v>0.12102631037538039</v>
      </c>
      <c r="AI42" s="44">
        <f t="shared" si="12"/>
        <v>0.13087246908712394</v>
      </c>
      <c r="AJ42" s="44">
        <f t="shared" si="12"/>
        <v>0.14032791030682615</v>
      </c>
      <c r="AK42" s="44">
        <f t="shared" si="12"/>
        <v>0.14928875355727192</v>
      </c>
      <c r="AL42" s="44">
        <f t="shared" si="12"/>
        <v>-0.17303940456887137</v>
      </c>
    </row>
  </sheetData>
  <mergeCells count="7">
    <mergeCell ref="A35:AL35"/>
    <mergeCell ref="A19:AL19"/>
    <mergeCell ref="A28:AL28"/>
    <mergeCell ref="A1:AL1"/>
    <mergeCell ref="A12:AL12"/>
    <mergeCell ref="A4:AL4"/>
    <mergeCell ref="A24:AL2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K17"/>
  <sheetViews>
    <sheetView workbookViewId="0">
      <selection activeCell="F20" sqref="F20"/>
    </sheetView>
  </sheetViews>
  <sheetFormatPr defaultRowHeight="15" x14ac:dyDescent="0.25"/>
  <cols>
    <col min="1" max="1" width="50.42578125" bestFit="1" customWidth="1"/>
    <col min="2" max="2" width="16.28515625" customWidth="1"/>
    <col min="3" max="17" width="16" bestFit="1" customWidth="1"/>
    <col min="18" max="23" width="15" bestFit="1" customWidth="1"/>
    <col min="24" max="24" width="13.42578125" bestFit="1" customWidth="1"/>
    <col min="25" max="29" width="14.28515625" bestFit="1" customWidth="1"/>
    <col min="30" max="37" width="15.28515625" bestFit="1" customWidth="1"/>
  </cols>
  <sheetData>
    <row r="1" spans="1:37" x14ac:dyDescent="0.25">
      <c r="A1" s="66" t="s">
        <v>447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8"/>
    </row>
    <row r="3" spans="1:37" x14ac:dyDescent="0.25">
      <c r="A3" s="2" t="s">
        <v>351</v>
      </c>
      <c r="B3" s="2" t="s">
        <v>352</v>
      </c>
      <c r="C3" s="2" t="s">
        <v>353</v>
      </c>
      <c r="D3" s="2" t="s">
        <v>354</v>
      </c>
      <c r="E3" s="2" t="s">
        <v>355</v>
      </c>
      <c r="F3" s="2" t="s">
        <v>356</v>
      </c>
      <c r="G3" s="2" t="s">
        <v>357</v>
      </c>
      <c r="H3" s="2" t="s">
        <v>358</v>
      </c>
      <c r="I3" s="2" t="s">
        <v>359</v>
      </c>
      <c r="J3" s="2" t="s">
        <v>360</v>
      </c>
      <c r="K3" s="2" t="s">
        <v>361</v>
      </c>
      <c r="L3" s="2" t="s">
        <v>362</v>
      </c>
      <c r="M3" s="2" t="s">
        <v>363</v>
      </c>
      <c r="N3" s="2" t="s">
        <v>416</v>
      </c>
      <c r="O3" s="2" t="s">
        <v>417</v>
      </c>
      <c r="P3" s="2" t="s">
        <v>418</v>
      </c>
      <c r="Q3" s="2" t="s">
        <v>419</v>
      </c>
      <c r="R3" s="2" t="s">
        <v>420</v>
      </c>
      <c r="S3" s="2" t="s">
        <v>421</v>
      </c>
      <c r="T3" s="2" t="s">
        <v>422</v>
      </c>
      <c r="U3" s="2" t="s">
        <v>423</v>
      </c>
      <c r="V3" s="2" t="s">
        <v>424</v>
      </c>
      <c r="W3" s="2" t="s">
        <v>425</v>
      </c>
      <c r="X3" s="2" t="s">
        <v>426</v>
      </c>
      <c r="Y3" s="2" t="s">
        <v>427</v>
      </c>
      <c r="Z3" s="2" t="s">
        <v>428</v>
      </c>
      <c r="AA3" s="2" t="s">
        <v>429</v>
      </c>
      <c r="AB3" s="2" t="s">
        <v>430</v>
      </c>
      <c r="AC3" s="2" t="s">
        <v>431</v>
      </c>
      <c r="AD3" s="2" t="s">
        <v>432</v>
      </c>
      <c r="AE3" s="2" t="s">
        <v>433</v>
      </c>
      <c r="AF3" s="2" t="s">
        <v>434</v>
      </c>
      <c r="AG3" s="2" t="s">
        <v>435</v>
      </c>
      <c r="AH3" s="2" t="s">
        <v>436</v>
      </c>
      <c r="AI3" s="2" t="s">
        <v>437</v>
      </c>
      <c r="AJ3" s="2" t="s">
        <v>438</v>
      </c>
      <c r="AK3" s="2" t="s">
        <v>439</v>
      </c>
    </row>
    <row r="4" spans="1:37" x14ac:dyDescent="0.25">
      <c r="A4" s="1" t="s">
        <v>448</v>
      </c>
      <c r="B4" s="54">
        <f>'P&amp;G 36 Meses'!B36</f>
        <v>-28835562</v>
      </c>
      <c r="C4" s="54">
        <f>'P&amp;G 36 Meses'!C36</f>
        <v>-27943007</v>
      </c>
      <c r="D4" s="54">
        <f>'P&amp;G 36 Meses'!D36</f>
        <v>-29267672</v>
      </c>
      <c r="E4" s="54">
        <f>'P&amp;G 36 Meses'!E36</f>
        <v>-25866907</v>
      </c>
      <c r="F4" s="54">
        <f>'P&amp;G 36 Meses'!F36</f>
        <v>-24222712</v>
      </c>
      <c r="G4" s="54">
        <f>'P&amp;G 36 Meses'!G36</f>
        <v>-22587127</v>
      </c>
      <c r="H4" s="54">
        <f>'P&amp;G 36 Meses'!H36</f>
        <v>-20903807</v>
      </c>
      <c r="I4" s="54">
        <f>'P&amp;G 36 Meses'!I36</f>
        <v>-19238487</v>
      </c>
      <c r="J4" s="54">
        <f>'P&amp;G 36 Meses'!J36</f>
        <v>-17525432</v>
      </c>
      <c r="K4" s="54">
        <f>'P&amp;G 36 Meses'!K36</f>
        <v>-15812377</v>
      </c>
      <c r="L4" s="54">
        <f>'P&amp;G 36 Meses'!L36</f>
        <v>-14117322</v>
      </c>
      <c r="M4" s="54">
        <f>'P&amp;G 36 Meses'!M36</f>
        <v>-12365922</v>
      </c>
      <c r="N4" s="54">
        <f>'P&amp;G 36 Meses'!N36</f>
        <v>-10628217</v>
      </c>
      <c r="O4" s="54">
        <f>'P&amp;G 36 Meses'!O36</f>
        <v>-8829862</v>
      </c>
      <c r="P4" s="54">
        <f>'P&amp;G 36 Meses'!P36</f>
        <v>-7027202</v>
      </c>
      <c r="Q4" s="54">
        <f>'P&amp;G 36 Meses'!Q36</f>
        <v>-5186197</v>
      </c>
      <c r="R4" s="54">
        <f>'P&amp;G 36 Meses'!R36</f>
        <v>-3284542</v>
      </c>
      <c r="S4" s="54">
        <f>'P&amp;G 36 Meses'!S36</f>
        <v>-1392277</v>
      </c>
      <c r="T4" s="54">
        <f>'P&amp;G 36 Meses'!T36</f>
        <v>-153057</v>
      </c>
      <c r="U4" s="54">
        <f>'P&amp;G 36 Meses'!U36</f>
        <v>1146813</v>
      </c>
      <c r="V4" s="54">
        <f>'P&amp;G 36 Meses'!V36</f>
        <v>2507333</v>
      </c>
      <c r="W4" s="54">
        <f>'P&amp;G 36 Meses'!W36</f>
        <v>3901113</v>
      </c>
      <c r="X4" s="54">
        <f>'P&amp;G 36 Meses'!X36</f>
        <v>5359848</v>
      </c>
      <c r="Y4" s="54">
        <f>'P&amp;G 36 Meses'!Y36</f>
        <v>6831498</v>
      </c>
      <c r="Z4" s="54">
        <f>'P&amp;G 36 Meses'!Z36</f>
        <v>8388448</v>
      </c>
      <c r="AA4" s="54">
        <f>'P&amp;G 36 Meses'!AA36</f>
        <v>10010353</v>
      </c>
      <c r="AB4" s="54">
        <f>'P&amp;G 36 Meses'!AB36</f>
        <v>11683518</v>
      </c>
      <c r="AC4" s="54">
        <f>'P&amp;G 36 Meses'!AC36</f>
        <v>13425943</v>
      </c>
      <c r="AD4" s="54">
        <f>'P&amp;G 36 Meses'!AD36</f>
        <v>15253668</v>
      </c>
      <c r="AE4" s="54">
        <f>'P&amp;G 36 Meses'!AE36</f>
        <v>17136958</v>
      </c>
      <c r="AF4" s="54">
        <f>'P&amp;G 36 Meses'!AF36</f>
        <v>19145853</v>
      </c>
      <c r="AG4" s="54">
        <f>'P&amp;G 36 Meses'!AG36</f>
        <v>21192313</v>
      </c>
      <c r="AH4" s="54">
        <f>'P&amp;G 36 Meses'!AH36</f>
        <v>23364378</v>
      </c>
      <c r="AI4" s="54">
        <f>'P&amp;G 36 Meses'!AI36</f>
        <v>25626048</v>
      </c>
      <c r="AJ4" s="54">
        <f>'P&amp;G 36 Meses'!AJ36</f>
        <v>27999628</v>
      </c>
      <c r="AK4" s="54">
        <f>'P&amp;G 36 Meses'!AK36</f>
        <v>30471423</v>
      </c>
    </row>
    <row r="5" spans="1:37" x14ac:dyDescent="0.25">
      <c r="A5" s="1" t="s">
        <v>449</v>
      </c>
      <c r="B5" s="54">
        <v>0</v>
      </c>
      <c r="C5" s="54">
        <v>0</v>
      </c>
      <c r="D5" s="54">
        <v>0</v>
      </c>
      <c r="E5" s="54">
        <v>0</v>
      </c>
      <c r="F5" s="54">
        <v>0</v>
      </c>
      <c r="G5" s="54">
        <v>0</v>
      </c>
      <c r="H5" s="54">
        <v>0</v>
      </c>
      <c r="I5" s="54">
        <v>0</v>
      </c>
      <c r="J5" s="54">
        <v>0</v>
      </c>
      <c r="K5" s="54">
        <v>0</v>
      </c>
      <c r="L5" s="54">
        <v>0</v>
      </c>
      <c r="M5" s="54">
        <v>0</v>
      </c>
      <c r="N5" s="54">
        <v>0</v>
      </c>
      <c r="O5" s="54">
        <v>0</v>
      </c>
      <c r="P5" s="54">
        <v>0</v>
      </c>
      <c r="Q5" s="54">
        <v>0</v>
      </c>
      <c r="R5" s="54">
        <v>0</v>
      </c>
      <c r="S5" s="54">
        <v>0</v>
      </c>
      <c r="T5" s="54">
        <v>0</v>
      </c>
      <c r="U5" s="54">
        <v>0</v>
      </c>
      <c r="V5" s="54">
        <v>0</v>
      </c>
      <c r="W5" s="54">
        <v>0</v>
      </c>
      <c r="X5" s="54">
        <v>0</v>
      </c>
      <c r="Y5" s="54">
        <v>0</v>
      </c>
      <c r="Z5" s="54">
        <v>0</v>
      </c>
      <c r="AA5" s="54">
        <v>0</v>
      </c>
      <c r="AB5" s="54">
        <v>0</v>
      </c>
      <c r="AC5" s="54">
        <v>0</v>
      </c>
      <c r="AD5" s="54">
        <v>0</v>
      </c>
      <c r="AE5" s="54">
        <v>0</v>
      </c>
      <c r="AF5" s="54">
        <v>0</v>
      </c>
      <c r="AG5" s="54">
        <v>0</v>
      </c>
      <c r="AH5" s="54">
        <v>0</v>
      </c>
      <c r="AI5" s="54">
        <v>0</v>
      </c>
      <c r="AJ5" s="54">
        <v>0</v>
      </c>
      <c r="AK5" s="54">
        <v>0</v>
      </c>
    </row>
    <row r="6" spans="1:37" x14ac:dyDescent="0.25">
      <c r="A6" s="1" t="s">
        <v>450</v>
      </c>
      <c r="B6" s="54">
        <f>-('P&amp;G 36 Meses'!B17*0.05)</f>
        <v>-236250</v>
      </c>
      <c r="C6" s="54">
        <f>-('P&amp;G 36 Meses'!C17-'P&amp;G 36 Meses'!B17)*0.05</f>
        <v>-83117.5</v>
      </c>
      <c r="D6" s="54">
        <f>-('P&amp;G 36 Meses'!D17-'P&amp;G 36 Meses'!C17)*0.05</f>
        <v>-151027.5</v>
      </c>
      <c r="E6" s="54">
        <f>-('P&amp;G 36 Meses'!E17-'P&amp;G 36 Meses'!D17)*0.05</f>
        <v>-118717.5</v>
      </c>
      <c r="F6" s="54">
        <f>-('P&amp;G 36 Meses'!F17-'P&amp;G 36 Meses'!E17)*0.05</f>
        <v>-121407.5</v>
      </c>
      <c r="G6" s="54">
        <f>-('P&amp;G 36 Meses'!G17-'P&amp;G 36 Meses'!F17)*0.05</f>
        <v>-120362.5</v>
      </c>
      <c r="H6" s="54">
        <f>-('P&amp;G 36 Meses'!H17-'P&amp;G 36 Meses'!G17)*0.05</f>
        <v>-123575</v>
      </c>
      <c r="I6" s="54">
        <f>-('P&amp;G 36 Meses'!I17-'P&amp;G 36 Meses'!H17)*0.05</f>
        <v>-123575</v>
      </c>
      <c r="J6" s="54">
        <f>-('P&amp;G 36 Meses'!J17-'P&amp;G 36 Meses'!I17)*0.05</f>
        <v>-126787.5</v>
      </c>
      <c r="K6" s="54">
        <f>-('P&amp;G 36 Meses'!K17-'P&amp;G 36 Meses'!J17)*0.05</f>
        <v>-126787.5</v>
      </c>
      <c r="L6" s="54">
        <f>-('P&amp;G 36 Meses'!L17-'P&amp;G 36 Meses'!K17)*0.05</f>
        <v>-126787.5</v>
      </c>
      <c r="M6" s="54">
        <f>-('P&amp;G 36 Meses'!M17-'P&amp;G 36 Meses'!L17)*0.05</f>
        <v>-131045</v>
      </c>
      <c r="N6" s="54">
        <f>-('P&amp;G 36 Meses'!N17-'P&amp;G 36 Meses'!M17)*0.05</f>
        <v>-131567.5</v>
      </c>
      <c r="O6" s="54">
        <f>-('P&amp;G 36 Meses'!O17-'P&amp;G 36 Meses'!N17)*0.05</f>
        <v>-136347.5</v>
      </c>
      <c r="P6" s="54">
        <f>-('P&amp;G 36 Meses'!P17-'P&amp;G 36 Meses'!O17)*0.05</f>
        <v>-136870</v>
      </c>
      <c r="Q6" s="54">
        <f>-('P&amp;G 36 Meses'!Q17-'P&amp;G 36 Meses'!P17)*0.05</f>
        <v>-141127.5</v>
      </c>
      <c r="R6" s="54">
        <f>-('P&amp;G 36 Meses'!R17-'P&amp;G 36 Meses'!Q17)*0.05</f>
        <v>-145907.5</v>
      </c>
      <c r="S6" s="54">
        <f>-('P&amp;G 36 Meses'!S17-'P&amp;G 36 Meses'!R17)*0.05</f>
        <v>-146952.5</v>
      </c>
      <c r="T6" s="54">
        <f>-('P&amp;G 36 Meses'!T17-'P&amp;G 36 Meses'!S17)*0.05</f>
        <v>-117255</v>
      </c>
      <c r="U6" s="54">
        <f>-('P&amp;G 36 Meses'!U17-'P&amp;G 36 Meses'!T17)*0.05</f>
        <v>-122035</v>
      </c>
      <c r="V6" s="54">
        <f>-('P&amp;G 36 Meses'!V17-'P&amp;G 36 Meses'!U17)*0.05</f>
        <v>-126815</v>
      </c>
      <c r="W6" s="54">
        <f>-('P&amp;G 36 Meses'!W17-'P&amp;G 36 Meses'!V17)*0.05</f>
        <v>-132640</v>
      </c>
      <c r="X6" s="54">
        <f>-('P&amp;G 36 Meses'!X17-'P&amp;G 36 Meses'!W17)*0.05</f>
        <v>-137942.5</v>
      </c>
      <c r="Y6" s="54">
        <f>-('P&amp;G 36 Meses'!Y17-'P&amp;G 36 Meses'!X17)*0.05</f>
        <v>-139510</v>
      </c>
      <c r="Z6" s="54">
        <f>-('P&amp;G 36 Meses'!Z17-'P&amp;G 36 Meses'!Y17)*0.05</f>
        <v>-149070</v>
      </c>
      <c r="AA6" s="54">
        <f>-('P&amp;G 36 Meses'!AA17-'P&amp;G 36 Meses'!Z17)*0.05</f>
        <v>-154372.5</v>
      </c>
      <c r="AB6" s="54">
        <f>-('P&amp;G 36 Meses'!AB17-'P&amp;G 36 Meses'!AA17)*0.05</f>
        <v>-160197.5</v>
      </c>
      <c r="AC6" s="54">
        <f>-('P&amp;G 36 Meses'!AC17-'P&amp;G 36 Meses'!AB17)*0.05</f>
        <v>-166022.5</v>
      </c>
      <c r="AD6" s="54">
        <f>-('P&amp;G 36 Meses'!AD17-'P&amp;G 36 Meses'!AC17)*0.05</f>
        <v>-175582.5</v>
      </c>
      <c r="AE6" s="54">
        <f>-('P&amp;G 36 Meses'!AE17-'P&amp;G 36 Meses'!AD17)*0.05</f>
        <v>-181930</v>
      </c>
      <c r="AF6" s="54">
        <f>-('P&amp;G 36 Meses'!AF17-'P&amp;G 36 Meses'!AE17)*0.05</f>
        <v>-192012.5</v>
      </c>
      <c r="AG6" s="54">
        <f>-('P&amp;G 36 Meses'!AG17-'P&amp;G 36 Meses'!AF17)*0.05</f>
        <v>-198360</v>
      </c>
      <c r="AH6" s="54">
        <f>-('P&amp;G 36 Meses'!AH17-'P&amp;G 36 Meses'!AG17)*0.05</f>
        <v>-208442.5</v>
      </c>
      <c r="AI6" s="54">
        <f>-('P&amp;G 36 Meses'!AI17-'P&amp;G 36 Meses'!AH17)*0.05</f>
        <v>-218525</v>
      </c>
      <c r="AJ6" s="54">
        <f>-('P&amp;G 36 Meses'!AJ17-'P&amp;G 36 Meses'!AI17)*0.05</f>
        <v>-229130</v>
      </c>
      <c r="AK6" s="54">
        <f>-('P&amp;G 36 Meses'!AK17-'P&amp;G 36 Meses'!AJ17)*0.05</f>
        <v>-240257.5</v>
      </c>
    </row>
    <row r="7" spans="1:37" x14ac:dyDescent="0.25">
      <c r="A7" s="1" t="s">
        <v>451</v>
      </c>
      <c r="B7" s="54">
        <f>IF(1=1,-Inputs!$B$47,0)</f>
        <v>-218087168</v>
      </c>
      <c r="C7" s="54">
        <f>IF(2=1,-Inputs!$B$47,0)</f>
        <v>0</v>
      </c>
      <c r="D7" s="54">
        <f>IF(3=1,-Inputs!$B$47,0)</f>
        <v>0</v>
      </c>
      <c r="E7" s="54">
        <f>IF(4=1,-Inputs!$B$47,0)</f>
        <v>0</v>
      </c>
      <c r="F7" s="54">
        <f>IF(5=1,-Inputs!$B$47,0)</f>
        <v>0</v>
      </c>
      <c r="G7" s="54">
        <f>IF(6=1,-Inputs!$B$47,0)</f>
        <v>0</v>
      </c>
      <c r="H7" s="54">
        <f>IF(7=1,-Inputs!$B$47,0)</f>
        <v>0</v>
      </c>
      <c r="I7" s="54">
        <f>IF(8=1,-Inputs!$B$47,0)</f>
        <v>0</v>
      </c>
      <c r="J7" s="54">
        <f>IF(9=1,-Inputs!$B$47,0)</f>
        <v>0</v>
      </c>
      <c r="K7" s="54">
        <f>IF(10=1,-Inputs!$B$47,0)</f>
        <v>0</v>
      </c>
      <c r="L7" s="54">
        <f>IF(11=1,-Inputs!$B$47,0)</f>
        <v>0</v>
      </c>
      <c r="M7" s="54">
        <f>IF(12=1,-Inputs!$B$47,0)</f>
        <v>0</v>
      </c>
      <c r="N7" s="54">
        <f>IF(13=1,-Inputs!$B$47,0)</f>
        <v>0</v>
      </c>
      <c r="O7" s="54">
        <f>IF(14=1,-Inputs!$B$47,0)</f>
        <v>0</v>
      </c>
      <c r="P7" s="54">
        <f>IF(15=1,-Inputs!$B$47,0)</f>
        <v>0</v>
      </c>
      <c r="Q7" s="54">
        <f>IF(16=1,-Inputs!$B$47,0)</f>
        <v>0</v>
      </c>
      <c r="R7" s="54">
        <f>IF(17=1,-Inputs!$B$47,0)</f>
        <v>0</v>
      </c>
      <c r="S7" s="54">
        <f>IF(18=1,-Inputs!$B$47,0)</f>
        <v>0</v>
      </c>
      <c r="T7" s="54">
        <f>IF(19=1,-Inputs!$B$47,0)</f>
        <v>0</v>
      </c>
      <c r="U7" s="54">
        <f>IF(20=1,-Inputs!$B$47,0)</f>
        <v>0</v>
      </c>
      <c r="V7" s="54">
        <f>IF(21=1,-Inputs!$B$47,0)</f>
        <v>0</v>
      </c>
      <c r="W7" s="54">
        <f>IF(22=1,-Inputs!$B$47,0)</f>
        <v>0</v>
      </c>
      <c r="X7" s="54">
        <f>IF(23=1,-Inputs!$B$47,0)</f>
        <v>0</v>
      </c>
      <c r="Y7" s="54">
        <f>IF(24=1,-Inputs!$B$47,0)</f>
        <v>0</v>
      </c>
      <c r="Z7" s="54">
        <f>IF(25=1,-Inputs!$B$47,0)</f>
        <v>0</v>
      </c>
      <c r="AA7" s="54">
        <f>IF(26=1,-Inputs!$B$47,0)</f>
        <v>0</v>
      </c>
      <c r="AB7" s="54">
        <f>IF(27=1,-Inputs!$B$47,0)</f>
        <v>0</v>
      </c>
      <c r="AC7" s="54">
        <f>IF(28=1,-Inputs!$B$47,0)</f>
        <v>0</v>
      </c>
      <c r="AD7" s="54">
        <f>IF(29=1,-Inputs!$B$47,0)</f>
        <v>0</v>
      </c>
      <c r="AE7" s="54">
        <f>IF(30=1,-Inputs!$B$47,0)</f>
        <v>0</v>
      </c>
      <c r="AF7" s="54">
        <f>IF(31=1,-Inputs!$B$47,0)</f>
        <v>0</v>
      </c>
      <c r="AG7" s="54">
        <f>IF(32=1,-Inputs!$B$47,0)</f>
        <v>0</v>
      </c>
      <c r="AH7" s="54">
        <f>IF(33=1,-Inputs!$B$47,0)</f>
        <v>0</v>
      </c>
      <c r="AI7" s="54">
        <f>IF(34=1,-Inputs!$B$47,0)</f>
        <v>0</v>
      </c>
      <c r="AJ7" s="54">
        <f>IF(35=1,-Inputs!$B$47,0)</f>
        <v>0</v>
      </c>
      <c r="AK7" s="54">
        <f>IF(36=1,-Inputs!$B$47,0)</f>
        <v>0</v>
      </c>
    </row>
    <row r="8" spans="1:37" x14ac:dyDescent="0.25">
      <c r="A8" s="2" t="s">
        <v>452</v>
      </c>
      <c r="B8" s="54">
        <f t="shared" ref="B8:AK8" si="0">B4+B5+B6+B7</f>
        <v>-247158980</v>
      </c>
      <c r="C8" s="54">
        <f t="shared" si="0"/>
        <v>-28026124.5</v>
      </c>
      <c r="D8" s="54">
        <f t="shared" si="0"/>
        <v>-29418699.5</v>
      </c>
      <c r="E8" s="54">
        <f t="shared" si="0"/>
        <v>-25985624.5</v>
      </c>
      <c r="F8" s="54">
        <f t="shared" si="0"/>
        <v>-24344119.5</v>
      </c>
      <c r="G8" s="54">
        <f t="shared" si="0"/>
        <v>-22707489.5</v>
      </c>
      <c r="H8" s="54">
        <f t="shared" si="0"/>
        <v>-21027382</v>
      </c>
      <c r="I8" s="54">
        <f t="shared" si="0"/>
        <v>-19362062</v>
      </c>
      <c r="J8" s="54">
        <f t="shared" si="0"/>
        <v>-17652219.5</v>
      </c>
      <c r="K8" s="54">
        <f t="shared" si="0"/>
        <v>-15939164.5</v>
      </c>
      <c r="L8" s="54">
        <f t="shared" si="0"/>
        <v>-14244109.5</v>
      </c>
      <c r="M8" s="54">
        <f t="shared" si="0"/>
        <v>-12496967</v>
      </c>
      <c r="N8" s="54">
        <f t="shared" si="0"/>
        <v>-10759784.5</v>
      </c>
      <c r="O8" s="54">
        <f t="shared" si="0"/>
        <v>-8966209.5</v>
      </c>
      <c r="P8" s="54">
        <f t="shared" si="0"/>
        <v>-7164072</v>
      </c>
      <c r="Q8" s="54">
        <f t="shared" si="0"/>
        <v>-5327324.5</v>
      </c>
      <c r="R8" s="54">
        <f t="shared" si="0"/>
        <v>-3430449.5</v>
      </c>
      <c r="S8" s="54">
        <f t="shared" si="0"/>
        <v>-1539229.5</v>
      </c>
      <c r="T8" s="54">
        <f t="shared" si="0"/>
        <v>-270312</v>
      </c>
      <c r="U8" s="54">
        <f t="shared" si="0"/>
        <v>1024778</v>
      </c>
      <c r="V8" s="54">
        <f t="shared" si="0"/>
        <v>2380518</v>
      </c>
      <c r="W8" s="54">
        <f t="shared" si="0"/>
        <v>3768473</v>
      </c>
      <c r="X8" s="54">
        <f t="shared" si="0"/>
        <v>5221905.5</v>
      </c>
      <c r="Y8" s="54">
        <f t="shared" si="0"/>
        <v>6691988</v>
      </c>
      <c r="Z8" s="54">
        <f t="shared" si="0"/>
        <v>8239378</v>
      </c>
      <c r="AA8" s="54">
        <f t="shared" si="0"/>
        <v>9855980.5</v>
      </c>
      <c r="AB8" s="54">
        <f t="shared" si="0"/>
        <v>11523320.5</v>
      </c>
      <c r="AC8" s="54">
        <f t="shared" si="0"/>
        <v>13259920.5</v>
      </c>
      <c r="AD8" s="54">
        <f t="shared" si="0"/>
        <v>15078085.5</v>
      </c>
      <c r="AE8" s="54">
        <f t="shared" si="0"/>
        <v>16955028</v>
      </c>
      <c r="AF8" s="54">
        <f t="shared" si="0"/>
        <v>18953840.5</v>
      </c>
      <c r="AG8" s="54">
        <f t="shared" si="0"/>
        <v>20993953</v>
      </c>
      <c r="AH8" s="54">
        <f t="shared" si="0"/>
        <v>23155935.5</v>
      </c>
      <c r="AI8" s="54">
        <f t="shared" si="0"/>
        <v>25407523</v>
      </c>
      <c r="AJ8" s="54">
        <f t="shared" si="0"/>
        <v>27770498</v>
      </c>
      <c r="AK8" s="54">
        <f t="shared" si="0"/>
        <v>30231165.5</v>
      </c>
    </row>
    <row r="10" spans="1:37" x14ac:dyDescent="0.25">
      <c r="A10" s="1" t="s">
        <v>453</v>
      </c>
      <c r="B10" s="44">
        <f>(1+Inputs!$B$55)^(1/12)-1</f>
        <v>1.3888430348409919E-2</v>
      </c>
    </row>
    <row r="11" spans="1:37" x14ac:dyDescent="0.25">
      <c r="A11" s="1" t="s">
        <v>454</v>
      </c>
      <c r="B11" s="62">
        <f>NPV(B10,B8:AK8)</f>
        <v>-329897837.04289162</v>
      </c>
    </row>
    <row r="12" spans="1:37" x14ac:dyDescent="0.25">
      <c r="A12" s="1" t="s">
        <v>455</v>
      </c>
      <c r="B12" s="20">
        <f>IRR(B8:AK8)</f>
        <v>-2.8191617342309572E-2</v>
      </c>
    </row>
    <row r="13" spans="1:37" x14ac:dyDescent="0.25">
      <c r="A13" s="1" t="s">
        <v>456</v>
      </c>
      <c r="B13" s="44">
        <f>(1+B12)^12-1</f>
        <v>-0.29047501897959804</v>
      </c>
    </row>
    <row r="15" spans="1:37" x14ac:dyDescent="0.25">
      <c r="A15" s="66" t="s">
        <v>457</v>
      </c>
      <c r="B15" s="68"/>
    </row>
    <row r="16" spans="1:37" x14ac:dyDescent="0.25">
      <c r="A16" s="1" t="s">
        <v>458</v>
      </c>
      <c r="B16" s="54">
        <f>Inputs!$B$47</f>
        <v>218087168</v>
      </c>
    </row>
    <row r="17" spans="1:2" x14ac:dyDescent="0.25">
      <c r="A17" s="1" t="s">
        <v>459</v>
      </c>
      <c r="B17" s="44">
        <f>IF(B16&lt;&gt;0,1+B11/B16,"n/d")</f>
        <v>-0.51268797732699078</v>
      </c>
    </row>
  </sheetData>
  <mergeCells count="2">
    <mergeCell ref="A1:AK1"/>
    <mergeCell ref="A15:B1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K14"/>
  <sheetViews>
    <sheetView workbookViewId="0">
      <selection activeCell="C19" sqref="C19"/>
    </sheetView>
  </sheetViews>
  <sheetFormatPr defaultRowHeight="15" x14ac:dyDescent="0.25"/>
  <cols>
    <col min="1" max="1" width="46.28515625" bestFit="1" customWidth="1"/>
    <col min="2" max="2" width="17" bestFit="1" customWidth="1"/>
    <col min="3" max="17" width="16" bestFit="1" customWidth="1"/>
    <col min="18" max="23" width="15" bestFit="1" customWidth="1"/>
    <col min="24" max="24" width="13.42578125" bestFit="1" customWidth="1"/>
    <col min="25" max="28" width="14.28515625" bestFit="1" customWidth="1"/>
    <col min="29" max="29" width="15" bestFit="1" customWidth="1"/>
    <col min="30" max="37" width="15.28515625" bestFit="1" customWidth="1"/>
  </cols>
  <sheetData>
    <row r="1" spans="1:37" x14ac:dyDescent="0.25">
      <c r="A1" s="66" t="s">
        <v>460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8"/>
    </row>
    <row r="3" spans="1:37" x14ac:dyDescent="0.25">
      <c r="A3" s="2"/>
      <c r="B3" s="2" t="s">
        <v>352</v>
      </c>
      <c r="C3" s="2" t="s">
        <v>353</v>
      </c>
      <c r="D3" s="2" t="s">
        <v>354</v>
      </c>
      <c r="E3" s="2" t="s">
        <v>355</v>
      </c>
      <c r="F3" s="2" t="s">
        <v>356</v>
      </c>
      <c r="G3" s="2" t="s">
        <v>357</v>
      </c>
      <c r="H3" s="2" t="s">
        <v>358</v>
      </c>
      <c r="I3" s="2" t="s">
        <v>359</v>
      </c>
      <c r="J3" s="2" t="s">
        <v>360</v>
      </c>
      <c r="K3" s="2" t="s">
        <v>361</v>
      </c>
      <c r="L3" s="2" t="s">
        <v>362</v>
      </c>
      <c r="M3" s="2" t="s">
        <v>363</v>
      </c>
      <c r="N3" s="2" t="s">
        <v>416</v>
      </c>
      <c r="O3" s="2" t="s">
        <v>417</v>
      </c>
      <c r="P3" s="2" t="s">
        <v>418</v>
      </c>
      <c r="Q3" s="2" t="s">
        <v>419</v>
      </c>
      <c r="R3" s="2" t="s">
        <v>420</v>
      </c>
      <c r="S3" s="2" t="s">
        <v>421</v>
      </c>
      <c r="T3" s="2" t="s">
        <v>422</v>
      </c>
      <c r="U3" s="2" t="s">
        <v>423</v>
      </c>
      <c r="V3" s="2" t="s">
        <v>424</v>
      </c>
      <c r="W3" s="2" t="s">
        <v>425</v>
      </c>
      <c r="X3" s="2" t="s">
        <v>426</v>
      </c>
      <c r="Y3" s="2" t="s">
        <v>427</v>
      </c>
      <c r="Z3" s="2" t="s">
        <v>428</v>
      </c>
      <c r="AA3" s="2" t="s">
        <v>429</v>
      </c>
      <c r="AB3" s="2" t="s">
        <v>430</v>
      </c>
      <c r="AC3" s="2" t="s">
        <v>431</v>
      </c>
      <c r="AD3" s="2" t="s">
        <v>432</v>
      </c>
      <c r="AE3" s="2" t="s">
        <v>433</v>
      </c>
      <c r="AF3" s="2" t="s">
        <v>434</v>
      </c>
      <c r="AG3" s="2" t="s">
        <v>435</v>
      </c>
      <c r="AH3" s="2" t="s">
        <v>436</v>
      </c>
      <c r="AI3" s="2" t="s">
        <v>437</v>
      </c>
      <c r="AJ3" s="2" t="s">
        <v>438</v>
      </c>
      <c r="AK3" s="2" t="s">
        <v>439</v>
      </c>
    </row>
    <row r="4" spans="1:37" x14ac:dyDescent="0.25">
      <c r="A4" s="1" t="s">
        <v>461</v>
      </c>
      <c r="B4" s="54">
        <f>'P&amp;G 36 Meses'!B36*(1+IF(1&gt;=13,Inputs!$B$57,0))^((1-12)/12)</f>
        <v>-28835562</v>
      </c>
      <c r="C4" s="54">
        <f>'P&amp;G 36 Meses'!C36*(1+IF(2&gt;=13,Inputs!$B$57,0))^((2-12)/12)</f>
        <v>-27943007</v>
      </c>
      <c r="D4" s="54">
        <f>'P&amp;G 36 Meses'!D36*(1+IF(3&gt;=13,Inputs!$B$57,0))^((3-12)/12)</f>
        <v>-29267672</v>
      </c>
      <c r="E4" s="54">
        <f>'P&amp;G 36 Meses'!E36*(1+IF(4&gt;=13,Inputs!$B$57,0))^((4-12)/12)</f>
        <v>-25866907</v>
      </c>
      <c r="F4" s="54">
        <f>'P&amp;G 36 Meses'!F36*(1+IF(5&gt;=13,Inputs!$B$57,0))^((5-12)/12)</f>
        <v>-24222712</v>
      </c>
      <c r="G4" s="54">
        <f>'P&amp;G 36 Meses'!G36*(1+IF(6&gt;=13,Inputs!$B$57,0))^((6-12)/12)</f>
        <v>-22587127</v>
      </c>
      <c r="H4" s="54">
        <f>'P&amp;G 36 Meses'!H36*(1+IF(7&gt;=13,Inputs!$B$57,0))^((7-12)/12)</f>
        <v>-20903807</v>
      </c>
      <c r="I4" s="54">
        <f>'P&amp;G 36 Meses'!I36*(1+IF(8&gt;=13,Inputs!$B$57,0))^((8-12)/12)</f>
        <v>-19238487</v>
      </c>
      <c r="J4" s="54">
        <f>'P&amp;G 36 Meses'!J36*(1+IF(9&gt;=13,Inputs!$B$57,0))^((9-12)/12)</f>
        <v>-17525432</v>
      </c>
      <c r="K4" s="54">
        <f>'P&amp;G 36 Meses'!K36*(1+IF(10&gt;=13,Inputs!$B$57,0))^((10-12)/12)</f>
        <v>-15812377</v>
      </c>
      <c r="L4" s="54">
        <f>'P&amp;G 36 Meses'!L36*(1+IF(11&gt;=13,Inputs!$B$57,0))^((11-12)/12)</f>
        <v>-14117322</v>
      </c>
      <c r="M4" s="54">
        <f>'P&amp;G 36 Meses'!M36*(1+IF(12&gt;=13,Inputs!$B$57,0))^((12-12)/12)</f>
        <v>-12365922</v>
      </c>
      <c r="N4" s="54">
        <f>'P&amp;G 36 Meses'!N36*(1+IF(13&gt;=13,Inputs!$B$57,0))^((13-12)/12)</f>
        <v>-10667273.671741482</v>
      </c>
      <c r="O4" s="54">
        <f>'P&amp;G 36 Meses'!O36*(1+IF(14&gt;=13,Inputs!$B$57,0))^((14-12)/12)</f>
        <v>-8894877.3601997998</v>
      </c>
      <c r="P4" s="54">
        <f>'P&amp;G 36 Meses'!P36*(1+IF(15&gt;=13,Inputs!$B$57,0))^((15-12)/12)</f>
        <v>-7104957.9233655985</v>
      </c>
      <c r="Q4" s="54">
        <f>'P&amp;G 36 Meses'!Q36*(1+IF(16&gt;=13,Inputs!$B$57,0))^((16-12)/12)</f>
        <v>-5262851.3857676862</v>
      </c>
      <c r="R4" s="54">
        <f>'P&amp;G 36 Meses'!R36*(1+IF(17&gt;=13,Inputs!$B$57,0))^((17-12)/12)</f>
        <v>-3345337.5139678093</v>
      </c>
      <c r="S4" s="54">
        <f>'P&amp;G 36 Meses'!S36*(1+IF(18&gt;=13,Inputs!$B$57,0))^((18-12)/12)</f>
        <v>-1423258.5256171154</v>
      </c>
      <c r="T4" s="54">
        <f>'P&amp;G 36 Meses'!T36*(1+IF(19&gt;=13,Inputs!$B$57,0))^((19-12)/12)</f>
        <v>-157037.85917586941</v>
      </c>
      <c r="U4" s="54">
        <f>'P&amp;G 36 Meses'!U36*(1+IF(20&gt;=13,Inputs!$B$57,0))^((20-12)/12)</f>
        <v>1180964.3862025251</v>
      </c>
      <c r="V4" s="54">
        <f>'P&amp;G 36 Meses'!V36*(1+IF(21&gt;=13,Inputs!$B$57,0))^((21-12)/12)</f>
        <v>2591488.1927683619</v>
      </c>
      <c r="W4" s="54">
        <f>'P&amp;G 36 Meses'!W36*(1+IF(22&gt;=13,Inputs!$B$57,0))^((22-12)/12)</f>
        <v>4046865.5163375637</v>
      </c>
      <c r="X4" s="54">
        <f>'P&amp;G 36 Meses'!X36*(1+IF(23&gt;=13,Inputs!$B$57,0))^((23-12)/12)</f>
        <v>5580533.762071684</v>
      </c>
      <c r="Y4" s="54">
        <f>'P&amp;G 36 Meses'!Y36*(1+IF(24&gt;=13,Inputs!$B$57,0))^((24-12)/12)</f>
        <v>7138915.4099999992</v>
      </c>
      <c r="Z4" s="54">
        <f>'P&amp;G 36 Meses'!Z36*(1+IF(25&gt;=13,Inputs!$B$57,0))^((25-12)/12)</f>
        <v>8798141.2752059195</v>
      </c>
      <c r="AA4" s="54">
        <f>'P&amp;G 36 Meses'!AA36*(1+IF(26&gt;=13,Inputs!$B$57,0))^((26-12)/12)</f>
        <v>10537843.18139253</v>
      </c>
      <c r="AB4" s="54">
        <f>'P&amp;G 36 Meses'!AB36*(1+IF(27&gt;=13,Inputs!$B$57,0))^((27-12)/12)</f>
        <v>12344371.83637163</v>
      </c>
      <c r="AC4" s="54">
        <f>'P&amp;G 36 Meses'!AC36*(1+IF(28&gt;=13,Inputs!$B$57,0))^((28-12)/12)</f>
        <v>14237481.943958825</v>
      </c>
      <c r="AD4" s="54">
        <f>'P&amp;G 36 Meses'!AD36*(1+IF(29&gt;=13,Inputs!$B$57,0))^((29-12)/12)</f>
        <v>16235127.404789099</v>
      </c>
      <c r="AE4" s="54">
        <f>'P&amp;G 36 Meses'!AE36*(1+IF(30&gt;=13,Inputs!$B$57,0))^((30-12)/12)</f>
        <v>18306620.053043563</v>
      </c>
      <c r="AF4" s="54">
        <f>'P&amp;G 36 Meses'!AF36*(1+IF(31&gt;=13,Inputs!$B$57,0))^((31-12)/12)</f>
        <v>20527789.233688179</v>
      </c>
      <c r="AG4" s="54">
        <f>'P&amp;G 36 Meses'!AG36*(1+IF(32&gt;=13,Inputs!$B$57,0))^((32-12)/12)</f>
        <v>22805460.371829014</v>
      </c>
      <c r="AH4" s="54">
        <f>'P&amp;G 36 Meses'!AH36*(1+IF(33&gt;=13,Inputs!$B$57,0))^((33-12)/12)</f>
        <v>25235257.006430272</v>
      </c>
      <c r="AI4" s="54">
        <f>'P&amp;G 36 Meses'!AI36*(1+IF(34&gt;=13,Inputs!$B$57,0))^((34-12)/12)</f>
        <v>27779739.428187724</v>
      </c>
      <c r="AJ4" s="54">
        <f>'P&amp;G 36 Meses'!AJ36*(1+IF(35&gt;=13,Inputs!$B$57,0))^((35-12)/12)</f>
        <v>30464343.112252954</v>
      </c>
      <c r="AK4" s="54">
        <f>'P&amp;G 36 Meses'!AK36*(1+IF(36&gt;=13,Inputs!$B$57,0))^((36-12)/12)</f>
        <v>33275555.701574992</v>
      </c>
    </row>
    <row r="5" spans="1:37" x14ac:dyDescent="0.25">
      <c r="A5" s="1" t="s">
        <v>462</v>
      </c>
      <c r="B5" s="54">
        <f>-IF('P&amp;G 36 Meses'!B39&gt;0,'P&amp;G 36 Meses'!B39*Inputs!$B$52,0)</f>
        <v>0</v>
      </c>
      <c r="C5" s="54">
        <f>-IF('P&amp;G 36 Meses'!C39&gt;0,'P&amp;G 36 Meses'!C39*Inputs!$B$52,0)</f>
        <v>0</v>
      </c>
      <c r="D5" s="54">
        <f>-IF('P&amp;G 36 Meses'!D39&gt;0,'P&amp;G 36 Meses'!D39*Inputs!$B$52,0)</f>
        <v>0</v>
      </c>
      <c r="E5" s="54">
        <f>-IF('P&amp;G 36 Meses'!E39&gt;0,'P&amp;G 36 Meses'!E39*Inputs!$B$52,0)</f>
        <v>0</v>
      </c>
      <c r="F5" s="54">
        <f>-IF('P&amp;G 36 Meses'!F39&gt;0,'P&amp;G 36 Meses'!F39*Inputs!$B$52,0)</f>
        <v>0</v>
      </c>
      <c r="G5" s="54">
        <f>-IF('P&amp;G 36 Meses'!G39&gt;0,'P&amp;G 36 Meses'!G39*Inputs!$B$52,0)</f>
        <v>0</v>
      </c>
      <c r="H5" s="54">
        <f>-IF('P&amp;G 36 Meses'!H39&gt;0,'P&amp;G 36 Meses'!H39*Inputs!$B$52,0)</f>
        <v>0</v>
      </c>
      <c r="I5" s="54">
        <f>-IF('P&amp;G 36 Meses'!I39&gt;0,'P&amp;G 36 Meses'!I39*Inputs!$B$52,0)</f>
        <v>0</v>
      </c>
      <c r="J5" s="54">
        <f>-IF('P&amp;G 36 Meses'!J39&gt;0,'P&amp;G 36 Meses'!J39*Inputs!$B$52,0)</f>
        <v>0</v>
      </c>
      <c r="K5" s="54">
        <f>-IF('P&amp;G 36 Meses'!K39&gt;0,'P&amp;G 36 Meses'!K39*Inputs!$B$52,0)</f>
        <v>0</v>
      </c>
      <c r="L5" s="54">
        <f>-IF('P&amp;G 36 Meses'!L39&gt;0,'P&amp;G 36 Meses'!L39*Inputs!$B$52,0)</f>
        <v>0</v>
      </c>
      <c r="M5" s="54">
        <f>-IF('P&amp;G 36 Meses'!M39&gt;0,'P&amp;G 36 Meses'!M39*Inputs!$B$52,0)</f>
        <v>0</v>
      </c>
      <c r="N5" s="54">
        <f>-IF('P&amp;G 36 Meses'!N39&gt;0,'P&amp;G 36 Meses'!N39*Inputs!$B$52,0)</f>
        <v>0</v>
      </c>
      <c r="O5" s="54">
        <f>-IF('P&amp;G 36 Meses'!O39&gt;0,'P&amp;G 36 Meses'!O39*Inputs!$B$52,0)</f>
        <v>0</v>
      </c>
      <c r="P5" s="54">
        <f>-IF('P&amp;G 36 Meses'!P39&gt;0,'P&amp;G 36 Meses'!P39*Inputs!$B$52,0)</f>
        <v>0</v>
      </c>
      <c r="Q5" s="54">
        <f>-IF('P&amp;G 36 Meses'!Q39&gt;0,'P&amp;G 36 Meses'!Q39*Inputs!$B$52,0)</f>
        <v>0</v>
      </c>
      <c r="R5" s="54">
        <f>-IF('P&amp;G 36 Meses'!R39&gt;0,'P&amp;G 36 Meses'!R39*Inputs!$B$52,0)</f>
        <v>0</v>
      </c>
      <c r="S5" s="54">
        <f>-IF('P&amp;G 36 Meses'!S39&gt;0,'P&amp;G 36 Meses'!S39*Inputs!$B$52,0)</f>
        <v>0</v>
      </c>
      <c r="T5" s="54">
        <f>-IF('P&amp;G 36 Meses'!T39&gt;0,'P&amp;G 36 Meses'!T39*Inputs!$B$52,0)</f>
        <v>0</v>
      </c>
      <c r="U5" s="54">
        <f>-IF('P&amp;G 36 Meses'!U39&gt;0,'P&amp;G 36 Meses'!U39*Inputs!$B$52,0)</f>
        <v>0</v>
      </c>
      <c r="V5" s="54">
        <f>-IF('P&amp;G 36 Meses'!V39&gt;0,'P&amp;G 36 Meses'!V39*Inputs!$B$52,0)</f>
        <v>0</v>
      </c>
      <c r="W5" s="54">
        <f>-IF('P&amp;G 36 Meses'!W39&gt;0,'P&amp;G 36 Meses'!W39*Inputs!$B$52,0)</f>
        <v>0</v>
      </c>
      <c r="X5" s="54">
        <f>-IF('P&amp;G 36 Meses'!X39&gt;0,'P&amp;G 36 Meses'!X39*Inputs!$B$52,0)</f>
        <v>0</v>
      </c>
      <c r="Y5" s="54">
        <f>-IF('P&amp;G 36 Meses'!Y39&gt;0,'P&amp;G 36 Meses'!Y39*Inputs!$B$52,0)</f>
        <v>-255261.96666666665</v>
      </c>
      <c r="Z5" s="54">
        <f>-IF('P&amp;G 36 Meses'!Z39&gt;0,'P&amp;G 36 Meses'!Z39*Inputs!$B$52,0)</f>
        <v>-769055.46666666667</v>
      </c>
      <c r="AA5" s="54">
        <f>-IF('P&amp;G 36 Meses'!AA39&gt;0,'P&amp;G 36 Meses'!AA39*Inputs!$B$52,0)</f>
        <v>-1304284.1166666667</v>
      </c>
      <c r="AB5" s="54">
        <f>-IF('P&amp;G 36 Meses'!AB39&gt;0,'P&amp;G 36 Meses'!AB39*Inputs!$B$52,0)</f>
        <v>-1856428.5666666667</v>
      </c>
      <c r="AC5" s="54">
        <f>-IF('P&amp;G 36 Meses'!AC39&gt;0,'P&amp;G 36 Meses'!AC39*Inputs!$B$52,0)</f>
        <v>-2431428.8166666669</v>
      </c>
      <c r="AD5" s="54">
        <f>-IF('P&amp;G 36 Meses'!AD39&gt;0,'P&amp;G 36 Meses'!AD39*Inputs!$B$52,0)</f>
        <v>-3034578.0666666669</v>
      </c>
      <c r="AE5" s="54">
        <f>-IF('P&amp;G 36 Meses'!AE39&gt;0,'P&amp;G 36 Meses'!AE39*Inputs!$B$52,0)</f>
        <v>-3656063.7666666671</v>
      </c>
      <c r="AF5" s="54">
        <f>-IF('P&amp;G 36 Meses'!AF39&gt;0,'P&amp;G 36 Meses'!AF39*Inputs!$B$52,0)</f>
        <v>-4318999.1166666672</v>
      </c>
      <c r="AG5" s="54">
        <f>-IF('P&amp;G 36 Meses'!AG39&gt;0,'P&amp;G 36 Meses'!AG39*Inputs!$B$52,0)</f>
        <v>-4994330.916666667</v>
      </c>
      <c r="AH5" s="54">
        <f>-IF('P&amp;G 36 Meses'!AH39&gt;0,'P&amp;G 36 Meses'!AH39*Inputs!$B$52,0)</f>
        <v>-5711112.3666666672</v>
      </c>
      <c r="AI5" s="54">
        <f>-IF('P&amp;G 36 Meses'!AI39&gt;0,'P&amp;G 36 Meses'!AI39*Inputs!$B$52,0)</f>
        <v>-6457463.4666666668</v>
      </c>
      <c r="AJ5" s="54">
        <f>-IF('P&amp;G 36 Meses'!AJ39&gt;0,'P&amp;G 36 Meses'!AJ39*Inputs!$B$52,0)</f>
        <v>-7240744.8666666672</v>
      </c>
      <c r="AK5" s="54">
        <f>-IF('P&amp;G 36 Meses'!AK39&gt;0,'P&amp;G 36 Meses'!AK39*Inputs!$B$52,0)</f>
        <v>-8056437.2166666677</v>
      </c>
    </row>
    <row r="6" spans="1:37" x14ac:dyDescent="0.25">
      <c r="A6" s="1" t="s">
        <v>463</v>
      </c>
      <c r="B6" s="54">
        <f>IF(AND(1&gt;=Inputs!$B$61,1&lt;Inputs!$B$61+Inputs!$B$60),PMT(Inputs!$B$59/12,Inputs!$B$60,Inputs!$B$58),0)</f>
        <v>-3434477.5759120998</v>
      </c>
      <c r="C6" s="54">
        <f>_xlfn.SINGLE(IF(AND(2&gt;=Inputs!$B$61,2&lt;Inputs!$B$61+Inputs!$B$60),PMT(Inputs!$B$59/12,Inputs!$B$60,Inputs!$B$58),0))</f>
        <v>-3434477.5759120998</v>
      </c>
      <c r="D6" s="54">
        <f>_xlfn.SINGLE(IF(AND(3&gt;=Inputs!$B$61,3&lt;Inputs!$B$61+Inputs!$B$60),PMT(Inputs!$B$59/12,Inputs!$B$60,Inputs!$B$58),0))</f>
        <v>-3434477.5759120998</v>
      </c>
      <c r="E6" s="54">
        <f>_xlfn.SINGLE(IF(AND(4&gt;=Inputs!$B$61,4&lt;Inputs!$B$61+Inputs!$B$60),PMT(Inputs!$B$59/12,Inputs!$B$60,Inputs!$B$58),0))</f>
        <v>-3434477.5759120998</v>
      </c>
      <c r="F6" s="54">
        <f>_xlfn.SINGLE(IF(AND(5&gt;=Inputs!$B$61,5&lt;Inputs!$B$61+Inputs!$B$60),PMT(Inputs!$B$59/12,Inputs!$B$60,Inputs!$B$58),0))</f>
        <v>-3434477.5759120998</v>
      </c>
      <c r="G6" s="54">
        <f>_xlfn.SINGLE(IF(AND(6&gt;=Inputs!$B$61,6&lt;Inputs!$B$61+Inputs!$B$60),PMT(Inputs!$B$59/12,Inputs!$B$60,Inputs!$B$58),0))</f>
        <v>-3434477.5759120998</v>
      </c>
      <c r="H6" s="54">
        <f>_xlfn.SINGLE(IF(AND(7&gt;=Inputs!$B$61,7&lt;Inputs!$B$61+Inputs!$B$60),PMT(Inputs!$B$59/12,Inputs!$B$60,Inputs!$B$58),0))</f>
        <v>-3434477.5759120998</v>
      </c>
      <c r="I6" s="54">
        <f>_xlfn.SINGLE(IF(AND(8&gt;=Inputs!$B$61,8&lt;Inputs!$B$61+Inputs!$B$60),PMT(Inputs!$B$59/12,Inputs!$B$60,Inputs!$B$58),0))</f>
        <v>-3434477.5759120998</v>
      </c>
      <c r="J6" s="54">
        <f>_xlfn.SINGLE(IF(AND(9&gt;=Inputs!$B$61,9&lt;Inputs!$B$61+Inputs!$B$60),PMT(Inputs!$B$59/12,Inputs!$B$60,Inputs!$B$58),0))</f>
        <v>-3434477.5759120998</v>
      </c>
      <c r="K6" s="54">
        <f>_xlfn.SINGLE(IF(AND(10&gt;=Inputs!$B$61,10&lt;Inputs!$B$61+Inputs!$B$60),PMT(Inputs!$B$59/12,Inputs!$B$60,Inputs!$B$58),0))</f>
        <v>-3434477.5759120998</v>
      </c>
      <c r="L6" s="54">
        <f>_xlfn.SINGLE(IF(AND(11&gt;=Inputs!$B$61,11&lt;Inputs!$B$61+Inputs!$B$60),PMT(Inputs!$B$59/12,Inputs!$B$60,Inputs!$B$58),0))</f>
        <v>-3434477.5759120998</v>
      </c>
      <c r="M6" s="54">
        <f>_xlfn.SINGLE(IF(AND(12&gt;=Inputs!$B$61,12&lt;Inputs!$B$61+Inputs!$B$60),PMT(Inputs!$B$59/12,Inputs!$B$60,Inputs!$B$58),0))</f>
        <v>-3434477.5759120998</v>
      </c>
      <c r="N6" s="54">
        <f>_xlfn.SINGLE(IF(AND(13&gt;=Inputs!$B$61,13&lt;Inputs!$B$61+Inputs!$B$60),PMT(Inputs!$B$59/12,Inputs!$B$60,Inputs!$B$58),0))</f>
        <v>-3434477.5759120998</v>
      </c>
      <c r="O6" s="54">
        <f>_xlfn.SINGLE(IF(AND(14&gt;=Inputs!$B$61,14&lt;Inputs!$B$61+Inputs!$B$60),PMT(Inputs!$B$59/12,Inputs!$B$60,Inputs!$B$58),0))</f>
        <v>-3434477.5759120998</v>
      </c>
      <c r="P6" s="54">
        <f>_xlfn.SINGLE(IF(AND(15&gt;=Inputs!$B$61,15&lt;Inputs!$B$61+Inputs!$B$60),PMT(Inputs!$B$59/12,Inputs!$B$60,Inputs!$B$58),0))</f>
        <v>-3434477.5759120998</v>
      </c>
      <c r="Q6" s="54">
        <f>_xlfn.SINGLE(IF(AND(16&gt;=Inputs!$B$61,16&lt;Inputs!$B$61+Inputs!$B$60),PMT(Inputs!$B$59/12,Inputs!$B$60,Inputs!$B$58),0))</f>
        <v>-3434477.5759120998</v>
      </c>
      <c r="R6" s="54">
        <f>_xlfn.SINGLE(IF(AND(17&gt;=Inputs!$B$61,17&lt;Inputs!$B$61+Inputs!$B$60),PMT(Inputs!$B$59/12,Inputs!$B$60,Inputs!$B$58),0))</f>
        <v>-3434477.5759120998</v>
      </c>
      <c r="S6" s="54">
        <f>_xlfn.SINGLE(IF(AND(18&gt;=Inputs!$B$61,18&lt;Inputs!$B$61+Inputs!$B$60),PMT(Inputs!$B$59/12,Inputs!$B$60,Inputs!$B$58),0))</f>
        <v>-3434477.5759120998</v>
      </c>
      <c r="T6" s="54">
        <f>_xlfn.SINGLE(IF(AND(19&gt;=Inputs!$B$61,19&lt;Inputs!$B$61+Inputs!$B$60),PMT(Inputs!$B$59/12,Inputs!$B$60,Inputs!$B$58),0))</f>
        <v>-3434477.5759120998</v>
      </c>
      <c r="U6" s="54">
        <f>_xlfn.SINGLE(IF(AND(20&gt;=Inputs!$B$61,20&lt;Inputs!$B$61+Inputs!$B$60),PMT(Inputs!$B$59/12,Inputs!$B$60,Inputs!$B$58),0))</f>
        <v>-3434477.5759120998</v>
      </c>
      <c r="V6" s="54">
        <f>_xlfn.SINGLE(IF(AND(21&gt;=Inputs!$B$61,21&lt;Inputs!$B$61+Inputs!$B$60),PMT(Inputs!$B$59/12,Inputs!$B$60,Inputs!$B$58),0))</f>
        <v>-3434477.5759120998</v>
      </c>
      <c r="W6" s="54">
        <f>_xlfn.SINGLE(IF(AND(22&gt;=Inputs!$B$61,22&lt;Inputs!$B$61+Inputs!$B$60),PMT(Inputs!$B$59/12,Inputs!$B$60,Inputs!$B$58),0))</f>
        <v>-3434477.5759120998</v>
      </c>
      <c r="X6" s="54">
        <f>_xlfn.SINGLE(IF(AND(23&gt;=Inputs!$B$61,23&lt;Inputs!$B$61+Inputs!$B$60),PMT(Inputs!$B$59/12,Inputs!$B$60,Inputs!$B$58),0))</f>
        <v>-3434477.5759120998</v>
      </c>
      <c r="Y6" s="54">
        <f>_xlfn.SINGLE(IF(AND(24&gt;=Inputs!$B$61,24&lt;Inputs!$B$61+Inputs!$B$60),PMT(Inputs!$B$59/12,Inputs!$B$60,Inputs!$B$58),0))</f>
        <v>-3434477.5759120998</v>
      </c>
      <c r="Z6" s="54">
        <f>_xlfn.SINGLE(IF(AND(25&gt;=Inputs!$B$61,25&lt;Inputs!$B$61+Inputs!$B$60),PMT(Inputs!$B$59/12,Inputs!$B$60,Inputs!$B$58),0))</f>
        <v>-3434477.5759120998</v>
      </c>
      <c r="AA6" s="54">
        <f>_xlfn.SINGLE(IF(AND(26&gt;=Inputs!$B$61,26&lt;Inputs!$B$61+Inputs!$B$60),PMT(Inputs!$B$59/12,Inputs!$B$60,Inputs!$B$58),0))</f>
        <v>-3434477.5759120998</v>
      </c>
      <c r="AB6" s="54">
        <f>_xlfn.SINGLE(IF(AND(27&gt;=Inputs!$B$61,27&lt;Inputs!$B$61+Inputs!$B$60),PMT(Inputs!$B$59/12,Inputs!$B$60,Inputs!$B$58),0))</f>
        <v>-3434477.5759120998</v>
      </c>
      <c r="AC6" s="54">
        <f>_xlfn.SINGLE(IF(AND(28&gt;=Inputs!$B$61,28&lt;Inputs!$B$61+Inputs!$B$60),PMT(Inputs!$B$59/12,Inputs!$B$60,Inputs!$B$58),0))</f>
        <v>-3434477.5759120998</v>
      </c>
      <c r="AD6" s="54">
        <f>_xlfn.SINGLE(IF(AND(29&gt;=Inputs!$B$61,29&lt;Inputs!$B$61+Inputs!$B$60),PMT(Inputs!$B$59/12,Inputs!$B$60,Inputs!$B$58),0))</f>
        <v>-3434477.5759120998</v>
      </c>
      <c r="AE6" s="54">
        <f>_xlfn.SINGLE(IF(AND(30&gt;=Inputs!$B$61,30&lt;Inputs!$B$61+Inputs!$B$60),PMT(Inputs!$B$59/12,Inputs!$B$60,Inputs!$B$58),0))</f>
        <v>-3434477.5759120998</v>
      </c>
      <c r="AF6" s="54">
        <f>_xlfn.SINGLE(IF(AND(31&gt;=Inputs!$B$61,31&lt;Inputs!$B$61+Inputs!$B$60),PMT(Inputs!$B$59/12,Inputs!$B$60,Inputs!$B$58),0))</f>
        <v>-3434477.5759120998</v>
      </c>
      <c r="AG6" s="54">
        <f>_xlfn.SINGLE(IF(AND(32&gt;=Inputs!$B$61,32&lt;Inputs!$B$61+Inputs!$B$60),PMT(Inputs!$B$59/12,Inputs!$B$60,Inputs!$B$58),0))</f>
        <v>-3434477.5759120998</v>
      </c>
      <c r="AH6" s="54">
        <f>_xlfn.SINGLE(IF(AND(33&gt;=Inputs!$B$61,33&lt;Inputs!$B$61+Inputs!$B$60),PMT(Inputs!$B$59/12,Inputs!$B$60,Inputs!$B$58),0))</f>
        <v>-3434477.5759120998</v>
      </c>
      <c r="AI6" s="54">
        <f>_xlfn.SINGLE(IF(AND(34&gt;=Inputs!$B$61,34&lt;Inputs!$B$61+Inputs!$B$60),PMT(Inputs!$B$59/12,Inputs!$B$60,Inputs!$B$58),0))</f>
        <v>-3434477.5759120998</v>
      </c>
      <c r="AJ6" s="54">
        <f>_xlfn.SINGLE(IF(AND(35&gt;=Inputs!$B$61,35&lt;Inputs!$B$61+Inputs!$B$60),PMT(Inputs!$B$59/12,Inputs!$B$60,Inputs!$B$58),0))</f>
        <v>-3434477.5759120998</v>
      </c>
      <c r="AK6" s="54">
        <f>_xlfn.SINGLE(IF(AND(36&gt;=Inputs!$B$61,36&lt;Inputs!$B$61+Inputs!$B$60),PMT(Inputs!$B$59/12,Inputs!$B$60,Inputs!$B$58),0))</f>
        <v>-3434477.5759120998</v>
      </c>
    </row>
    <row r="7" spans="1:37" x14ac:dyDescent="0.25">
      <c r="A7" s="1" t="s">
        <v>464</v>
      </c>
      <c r="B7" s="54">
        <f>-('P&amp;G 36 Meses'!B17*0.05)</f>
        <v>-236250</v>
      </c>
      <c r="C7" s="54">
        <f>-('P&amp;G 36 Meses'!C17-'P&amp;G 36 Meses'!B17)*0.05</f>
        <v>-83117.5</v>
      </c>
      <c r="D7" s="54">
        <f>-('P&amp;G 36 Meses'!D17-'P&amp;G 36 Meses'!C17)*0.05</f>
        <v>-151027.5</v>
      </c>
      <c r="E7" s="54">
        <f>-('P&amp;G 36 Meses'!E17-'P&amp;G 36 Meses'!D17)*0.05</f>
        <v>-118717.5</v>
      </c>
      <c r="F7" s="54">
        <f>-('P&amp;G 36 Meses'!F17-'P&amp;G 36 Meses'!E17)*0.05</f>
        <v>-121407.5</v>
      </c>
      <c r="G7" s="54">
        <f>-('P&amp;G 36 Meses'!G17-'P&amp;G 36 Meses'!F17)*0.05</f>
        <v>-120362.5</v>
      </c>
      <c r="H7" s="54">
        <f>-('P&amp;G 36 Meses'!H17-'P&amp;G 36 Meses'!G17)*0.05</f>
        <v>-123575</v>
      </c>
      <c r="I7" s="54">
        <f>-('P&amp;G 36 Meses'!I17-'P&amp;G 36 Meses'!H17)*0.05</f>
        <v>-123575</v>
      </c>
      <c r="J7" s="54">
        <f>-('P&amp;G 36 Meses'!J17-'P&amp;G 36 Meses'!I17)*0.05</f>
        <v>-126787.5</v>
      </c>
      <c r="K7" s="54">
        <f>-('P&amp;G 36 Meses'!K17-'P&amp;G 36 Meses'!J17)*0.05</f>
        <v>-126787.5</v>
      </c>
      <c r="L7" s="54">
        <f>-('P&amp;G 36 Meses'!L17-'P&amp;G 36 Meses'!K17)*0.05</f>
        <v>-126787.5</v>
      </c>
      <c r="M7" s="54">
        <f>-('P&amp;G 36 Meses'!M17-'P&amp;G 36 Meses'!L17)*0.05</f>
        <v>-131045</v>
      </c>
      <c r="N7" s="54">
        <f>-('P&amp;G 36 Meses'!N17-'P&amp;G 36 Meses'!M17)*0.05</f>
        <v>-131567.5</v>
      </c>
      <c r="O7" s="54">
        <f>-('P&amp;G 36 Meses'!O17-'P&amp;G 36 Meses'!N17)*0.05</f>
        <v>-136347.5</v>
      </c>
      <c r="P7" s="54">
        <f>-('P&amp;G 36 Meses'!P17-'P&amp;G 36 Meses'!O17)*0.05</f>
        <v>-136870</v>
      </c>
      <c r="Q7" s="54">
        <f>-('P&amp;G 36 Meses'!Q17-'P&amp;G 36 Meses'!P17)*0.05</f>
        <v>-141127.5</v>
      </c>
      <c r="R7" s="54">
        <f>-('P&amp;G 36 Meses'!R17-'P&amp;G 36 Meses'!Q17)*0.05</f>
        <v>-145907.5</v>
      </c>
      <c r="S7" s="54">
        <f>-('P&amp;G 36 Meses'!S17-'P&amp;G 36 Meses'!R17)*0.05</f>
        <v>-146952.5</v>
      </c>
      <c r="T7" s="54">
        <f>-('P&amp;G 36 Meses'!T17-'P&amp;G 36 Meses'!S17)*0.05</f>
        <v>-117255</v>
      </c>
      <c r="U7" s="54">
        <f>-('P&amp;G 36 Meses'!U17-'P&amp;G 36 Meses'!T17)*0.05</f>
        <v>-122035</v>
      </c>
      <c r="V7" s="54">
        <f>-('P&amp;G 36 Meses'!V17-'P&amp;G 36 Meses'!U17)*0.05</f>
        <v>-126815</v>
      </c>
      <c r="W7" s="54">
        <f>-('P&amp;G 36 Meses'!W17-'P&amp;G 36 Meses'!V17)*0.05</f>
        <v>-132640</v>
      </c>
      <c r="X7" s="54">
        <f>-('P&amp;G 36 Meses'!X17-'P&amp;G 36 Meses'!W17)*0.05</f>
        <v>-137942.5</v>
      </c>
      <c r="Y7" s="54">
        <f>-('P&amp;G 36 Meses'!Y17-'P&amp;G 36 Meses'!X17)*0.05</f>
        <v>-139510</v>
      </c>
      <c r="Z7" s="54">
        <f>-('P&amp;G 36 Meses'!Z17-'P&amp;G 36 Meses'!Y17)*0.05</f>
        <v>-149070</v>
      </c>
      <c r="AA7" s="54">
        <f>-('P&amp;G 36 Meses'!AA17-'P&amp;G 36 Meses'!Z17)*0.05</f>
        <v>-154372.5</v>
      </c>
      <c r="AB7" s="54">
        <f>-('P&amp;G 36 Meses'!AB17-'P&amp;G 36 Meses'!AA17)*0.05</f>
        <v>-160197.5</v>
      </c>
      <c r="AC7" s="54">
        <f>-('P&amp;G 36 Meses'!AC17-'P&amp;G 36 Meses'!AB17)*0.05</f>
        <v>-166022.5</v>
      </c>
      <c r="AD7" s="54">
        <f>-('P&amp;G 36 Meses'!AD17-'P&amp;G 36 Meses'!AC17)*0.05</f>
        <v>-175582.5</v>
      </c>
      <c r="AE7" s="54">
        <f>-('P&amp;G 36 Meses'!AE17-'P&amp;G 36 Meses'!AD17)*0.05</f>
        <v>-181930</v>
      </c>
      <c r="AF7" s="54">
        <f>-('P&amp;G 36 Meses'!AF17-'P&amp;G 36 Meses'!AE17)*0.05</f>
        <v>-192012.5</v>
      </c>
      <c r="AG7" s="54">
        <f>-('P&amp;G 36 Meses'!AG17-'P&amp;G 36 Meses'!AF17)*0.05</f>
        <v>-198360</v>
      </c>
      <c r="AH7" s="54">
        <f>-('P&amp;G 36 Meses'!AH17-'P&amp;G 36 Meses'!AG17)*0.05</f>
        <v>-208442.5</v>
      </c>
      <c r="AI7" s="54">
        <f>-('P&amp;G 36 Meses'!AI17-'P&amp;G 36 Meses'!AH17)*0.05</f>
        <v>-218525</v>
      </c>
      <c r="AJ7" s="54">
        <f>-('P&amp;G 36 Meses'!AJ17-'P&amp;G 36 Meses'!AI17)*0.05</f>
        <v>-229130</v>
      </c>
      <c r="AK7" s="54">
        <f>-('P&amp;G 36 Meses'!AK17-'P&amp;G 36 Meses'!AJ17)*0.05</f>
        <v>-240257.5</v>
      </c>
    </row>
    <row r="8" spans="1:37" x14ac:dyDescent="0.25">
      <c r="A8" s="1" t="s">
        <v>465</v>
      </c>
      <c r="B8" s="54">
        <f>IF(1=1,-Inputs!$B$47,0)</f>
        <v>-218087168</v>
      </c>
      <c r="C8" s="54">
        <f>IF(2=1,-Inputs!$B$47,0)</f>
        <v>0</v>
      </c>
      <c r="D8" s="54">
        <f>IF(3=1,-Inputs!$B$47,0)</f>
        <v>0</v>
      </c>
      <c r="E8" s="54">
        <f>IF(4=1,-Inputs!$B$47,0)</f>
        <v>0</v>
      </c>
      <c r="F8" s="54">
        <f>IF(5=1,-Inputs!$B$47,0)</f>
        <v>0</v>
      </c>
      <c r="G8" s="54">
        <f>IF(6=1,-Inputs!$B$47,0)</f>
        <v>0</v>
      </c>
      <c r="H8" s="54">
        <f>IF(7=1,-Inputs!$B$47,0)</f>
        <v>0</v>
      </c>
      <c r="I8" s="54">
        <f>IF(8=1,-Inputs!$B$47,0)</f>
        <v>0</v>
      </c>
      <c r="J8" s="54">
        <f>IF(9=1,-Inputs!$B$47,0)</f>
        <v>0</v>
      </c>
      <c r="K8" s="54">
        <f>IF(10=1,-Inputs!$B$47,0)</f>
        <v>0</v>
      </c>
      <c r="L8" s="54">
        <f>IF(11=1,-Inputs!$B$47,0)</f>
        <v>0</v>
      </c>
      <c r="M8" s="54">
        <f>IF(12=1,-Inputs!$B$47,0)</f>
        <v>0</v>
      </c>
      <c r="N8" s="54">
        <f>IF(13=1,-Inputs!$B$47,0)</f>
        <v>0</v>
      </c>
      <c r="O8" s="54">
        <f>IF(14=1,-Inputs!$B$47,0)</f>
        <v>0</v>
      </c>
      <c r="P8" s="54">
        <f>IF(15=1,-Inputs!$B$47,0)</f>
        <v>0</v>
      </c>
      <c r="Q8" s="54">
        <f>IF(16=1,-Inputs!$B$47,0)</f>
        <v>0</v>
      </c>
      <c r="R8" s="54">
        <f>IF(17=1,-Inputs!$B$47,0)</f>
        <v>0</v>
      </c>
      <c r="S8" s="54">
        <f>IF(18=1,-Inputs!$B$47,0)</f>
        <v>0</v>
      </c>
      <c r="T8" s="54">
        <f>IF(19=1,-Inputs!$B$47,0)</f>
        <v>0</v>
      </c>
      <c r="U8" s="54">
        <f>IF(20=1,-Inputs!$B$47,0)</f>
        <v>0</v>
      </c>
      <c r="V8" s="54">
        <f>IF(21=1,-Inputs!$B$47,0)</f>
        <v>0</v>
      </c>
      <c r="W8" s="54">
        <f>IF(22=1,-Inputs!$B$47,0)</f>
        <v>0</v>
      </c>
      <c r="X8" s="54">
        <f>IF(23=1,-Inputs!$B$47,0)</f>
        <v>0</v>
      </c>
      <c r="Y8" s="54">
        <f>IF(24=1,-Inputs!$B$47,0)</f>
        <v>0</v>
      </c>
      <c r="Z8" s="54">
        <f>IF(25=1,-Inputs!$B$47,0)</f>
        <v>0</v>
      </c>
      <c r="AA8" s="54">
        <f>IF(26=1,-Inputs!$B$47,0)</f>
        <v>0</v>
      </c>
      <c r="AB8" s="54">
        <f>IF(27=1,-Inputs!$B$47,0)</f>
        <v>0</v>
      </c>
      <c r="AC8" s="54">
        <f>IF(28=1,-Inputs!$B$47,0)</f>
        <v>0</v>
      </c>
      <c r="AD8" s="54">
        <f>IF(29=1,-Inputs!$B$47,0)</f>
        <v>0</v>
      </c>
      <c r="AE8" s="54">
        <f>IF(30=1,-Inputs!$B$47,0)</f>
        <v>0</v>
      </c>
      <c r="AF8" s="54">
        <f>IF(31=1,-Inputs!$B$47,0)</f>
        <v>0</v>
      </c>
      <c r="AG8" s="54">
        <f>IF(32=1,-Inputs!$B$47,0)</f>
        <v>0</v>
      </c>
      <c r="AH8" s="54">
        <f>IF(33=1,-Inputs!$B$47,0)</f>
        <v>0</v>
      </c>
      <c r="AI8" s="54">
        <f>IF(34=1,-Inputs!$B$47,0)</f>
        <v>0</v>
      </c>
      <c r="AJ8" s="54">
        <f>IF(35=1,-Inputs!$B$47,0)</f>
        <v>0</v>
      </c>
      <c r="AK8" s="54">
        <f>IF(36=1,-Inputs!$B$47,0)</f>
        <v>0</v>
      </c>
    </row>
    <row r="9" spans="1:37" x14ac:dyDescent="0.25">
      <c r="A9" s="1" t="s">
        <v>466</v>
      </c>
      <c r="B9" s="54">
        <f>IF(1=Inputs!$B$61,Inputs!$B$58,0)</f>
        <v>95000000</v>
      </c>
      <c r="C9" s="54">
        <f>IF(2=Inputs!$B$61,Inputs!$B$58,0)</f>
        <v>0</v>
      </c>
      <c r="D9" s="54">
        <f>IF(3=Inputs!$B$61,Inputs!$B$58,0)</f>
        <v>0</v>
      </c>
      <c r="E9" s="54">
        <f>IF(4=Inputs!$B$61,Inputs!$B$58,0)</f>
        <v>0</v>
      </c>
      <c r="F9" s="54">
        <f>IF(5=Inputs!$B$61,Inputs!$B$58,0)</f>
        <v>0</v>
      </c>
      <c r="G9" s="54">
        <f>IF(6=Inputs!$B$61,Inputs!$B$58,0)</f>
        <v>0</v>
      </c>
      <c r="H9" s="54">
        <f>IF(7=Inputs!$B$61,Inputs!$B$58,0)</f>
        <v>0</v>
      </c>
      <c r="I9" s="54">
        <f>IF(8=Inputs!$B$61,Inputs!$B$58,0)</f>
        <v>0</v>
      </c>
      <c r="J9" s="54">
        <f>IF(9=Inputs!$B$61,Inputs!$B$58,0)</f>
        <v>0</v>
      </c>
      <c r="K9" s="54">
        <f>IF(10=Inputs!$B$61,Inputs!$B$58,0)</f>
        <v>0</v>
      </c>
      <c r="L9" s="54">
        <f>IF(11=Inputs!$B$61,Inputs!$B$58,0)</f>
        <v>0</v>
      </c>
      <c r="M9" s="54">
        <f>IF(12=Inputs!$B$61,Inputs!$B$58,0)</f>
        <v>0</v>
      </c>
      <c r="N9" s="54">
        <f>IF(13=Inputs!$B$61,Inputs!$B$58,0)</f>
        <v>0</v>
      </c>
      <c r="O9" s="54">
        <f>IF(14=Inputs!$B$61,Inputs!$B$58,0)</f>
        <v>0</v>
      </c>
      <c r="P9" s="54">
        <f>IF(15=Inputs!$B$61,Inputs!$B$58,0)</f>
        <v>0</v>
      </c>
      <c r="Q9" s="54">
        <f>IF(16=Inputs!$B$61,Inputs!$B$58,0)</f>
        <v>0</v>
      </c>
      <c r="R9" s="54">
        <f>IF(17=Inputs!$B$61,Inputs!$B$58,0)</f>
        <v>0</v>
      </c>
      <c r="S9" s="54">
        <f>IF(18=Inputs!$B$61,Inputs!$B$58,0)</f>
        <v>0</v>
      </c>
      <c r="T9" s="54">
        <f>IF(19=Inputs!$B$61,Inputs!$B$58,0)</f>
        <v>0</v>
      </c>
      <c r="U9" s="54">
        <f>IF(20=Inputs!$B$61,Inputs!$B$58,0)</f>
        <v>0</v>
      </c>
      <c r="V9" s="54">
        <f>IF(21=Inputs!$B$61,Inputs!$B$58,0)</f>
        <v>0</v>
      </c>
      <c r="W9" s="54">
        <f>IF(22=Inputs!$B$61,Inputs!$B$58,0)</f>
        <v>0</v>
      </c>
      <c r="X9" s="54">
        <f>IF(23=Inputs!$B$61,Inputs!$B$58,0)</f>
        <v>0</v>
      </c>
      <c r="Y9" s="54">
        <f>IF(24=Inputs!$B$61,Inputs!$B$58,0)</f>
        <v>0</v>
      </c>
      <c r="Z9" s="54">
        <f>IF(25=Inputs!$B$61,Inputs!$B$58,0)</f>
        <v>0</v>
      </c>
      <c r="AA9" s="54">
        <f>IF(26=Inputs!$B$61,Inputs!$B$58,0)</f>
        <v>0</v>
      </c>
      <c r="AB9" s="54">
        <f>IF(27=Inputs!$B$61,Inputs!$B$58,0)</f>
        <v>0</v>
      </c>
      <c r="AC9" s="54">
        <f>IF(28=Inputs!$B$61,Inputs!$B$58,0)</f>
        <v>0</v>
      </c>
      <c r="AD9" s="54">
        <f>IF(29=Inputs!$B$61,Inputs!$B$58,0)</f>
        <v>0</v>
      </c>
      <c r="AE9" s="54">
        <f>IF(30=Inputs!$B$61,Inputs!$B$58,0)</f>
        <v>0</v>
      </c>
      <c r="AF9" s="54">
        <f>IF(31=Inputs!$B$61,Inputs!$B$58,0)</f>
        <v>0</v>
      </c>
      <c r="AG9" s="54">
        <f>IF(32=Inputs!$B$61,Inputs!$B$58,0)</f>
        <v>0</v>
      </c>
      <c r="AH9" s="54">
        <f>IF(33=Inputs!$B$61,Inputs!$B$58,0)</f>
        <v>0</v>
      </c>
      <c r="AI9" s="54">
        <f>IF(34=Inputs!$B$61,Inputs!$B$58,0)</f>
        <v>0</v>
      </c>
      <c r="AJ9" s="54">
        <f>IF(35=Inputs!$B$61,Inputs!$B$58,0)</f>
        <v>0</v>
      </c>
      <c r="AK9" s="54">
        <f>IF(36=Inputs!$B$61,Inputs!$B$58,0)</f>
        <v>0</v>
      </c>
    </row>
    <row r="10" spans="1:37" x14ac:dyDescent="0.25">
      <c r="A10" s="2" t="s">
        <v>467</v>
      </c>
      <c r="B10" s="54">
        <f t="shared" ref="B10:AK10" si="0">B4+B5+B6+B7+B8+B9</f>
        <v>-155593457.57591209</v>
      </c>
      <c r="C10" s="54">
        <f t="shared" si="0"/>
        <v>-31460602.075912099</v>
      </c>
      <c r="D10" s="54">
        <f t="shared" si="0"/>
        <v>-32853177.075912099</v>
      </c>
      <c r="E10" s="54">
        <f t="shared" si="0"/>
        <v>-29420102.075912099</v>
      </c>
      <c r="F10" s="54">
        <f t="shared" si="0"/>
        <v>-27778597.075912099</v>
      </c>
      <c r="G10" s="54">
        <f t="shared" si="0"/>
        <v>-26141967.075912099</v>
      </c>
      <c r="H10" s="54">
        <f t="shared" si="0"/>
        <v>-24461859.575912099</v>
      </c>
      <c r="I10" s="54">
        <f t="shared" si="0"/>
        <v>-22796539.575912099</v>
      </c>
      <c r="J10" s="54">
        <f t="shared" si="0"/>
        <v>-21086697.075912099</v>
      </c>
      <c r="K10" s="54">
        <f t="shared" si="0"/>
        <v>-19373642.075912099</v>
      </c>
      <c r="L10" s="54">
        <f t="shared" si="0"/>
        <v>-17678587.075912099</v>
      </c>
      <c r="M10" s="54">
        <f t="shared" si="0"/>
        <v>-15931444.575912099</v>
      </c>
      <c r="N10" s="54">
        <f t="shared" si="0"/>
        <v>-14233318.747653581</v>
      </c>
      <c r="O10" s="54">
        <f t="shared" si="0"/>
        <v>-12465702.436111899</v>
      </c>
      <c r="P10" s="54">
        <f t="shared" si="0"/>
        <v>-10676305.499277698</v>
      </c>
      <c r="Q10" s="54">
        <f t="shared" si="0"/>
        <v>-8838456.4616797864</v>
      </c>
      <c r="R10" s="54">
        <f t="shared" si="0"/>
        <v>-6925722.5898799095</v>
      </c>
      <c r="S10" s="54">
        <f t="shared" si="0"/>
        <v>-5004688.6015292155</v>
      </c>
      <c r="T10" s="54">
        <f t="shared" si="0"/>
        <v>-3708770.4350879691</v>
      </c>
      <c r="U10" s="54">
        <f t="shared" si="0"/>
        <v>-2375548.1897095749</v>
      </c>
      <c r="V10" s="54">
        <f t="shared" si="0"/>
        <v>-969804.38314373791</v>
      </c>
      <c r="W10" s="54">
        <f t="shared" si="0"/>
        <v>479747.94042546395</v>
      </c>
      <c r="X10" s="54">
        <f t="shared" si="0"/>
        <v>2008113.6861595842</v>
      </c>
      <c r="Y10" s="54">
        <f t="shared" si="0"/>
        <v>3309665.8674212326</v>
      </c>
      <c r="Z10" s="54">
        <f t="shared" si="0"/>
        <v>4445538.2326271534</v>
      </c>
      <c r="AA10" s="54">
        <f t="shared" si="0"/>
        <v>5644708.9888137635</v>
      </c>
      <c r="AB10" s="54">
        <f t="shared" si="0"/>
        <v>6893268.1937928647</v>
      </c>
      <c r="AC10" s="54">
        <f t="shared" si="0"/>
        <v>8205553.0513800588</v>
      </c>
      <c r="AD10" s="54">
        <f t="shared" si="0"/>
        <v>9590489.2622103337</v>
      </c>
      <c r="AE10" s="54">
        <f t="shared" si="0"/>
        <v>11034148.710464796</v>
      </c>
      <c r="AF10" s="54">
        <f t="shared" si="0"/>
        <v>12582300.041109413</v>
      </c>
      <c r="AG10" s="54">
        <f t="shared" si="0"/>
        <v>14178291.879250247</v>
      </c>
      <c r="AH10" s="54">
        <f t="shared" si="0"/>
        <v>15881224.563851506</v>
      </c>
      <c r="AI10" s="54">
        <f t="shared" si="0"/>
        <v>17669273.38560896</v>
      </c>
      <c r="AJ10" s="54">
        <f t="shared" si="0"/>
        <v>19559990.669674188</v>
      </c>
      <c r="AK10" s="54">
        <f t="shared" si="0"/>
        <v>21544383.408996224</v>
      </c>
    </row>
    <row r="12" spans="1:37" x14ac:dyDescent="0.25">
      <c r="A12" s="1" t="s">
        <v>468</v>
      </c>
      <c r="B12" s="44">
        <f>(1+Inputs!$B$56)^(1/12)-1</f>
        <v>1.6708963873128146E-2</v>
      </c>
    </row>
    <row r="13" spans="1:37" x14ac:dyDescent="0.25">
      <c r="A13" s="1" t="s">
        <v>469</v>
      </c>
      <c r="B13" s="55">
        <f>NPV(B12,B10:AK10)</f>
        <v>-355443993.76728588</v>
      </c>
    </row>
    <row r="14" spans="1:37" x14ac:dyDescent="0.25">
      <c r="A14" s="1" t="s">
        <v>470</v>
      </c>
      <c r="B14" s="20">
        <f>IRR(B10:AK10)</f>
        <v>-4.4618076857919076E-2</v>
      </c>
    </row>
  </sheetData>
  <mergeCells count="1">
    <mergeCell ref="A1:A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41"/>
  <sheetViews>
    <sheetView topLeftCell="A20" workbookViewId="0">
      <selection activeCell="D40" sqref="D40"/>
    </sheetView>
  </sheetViews>
  <sheetFormatPr defaultRowHeight="15" x14ac:dyDescent="0.25"/>
  <cols>
    <col min="1" max="1" width="37.42578125" style="23" bestFit="1" customWidth="1"/>
    <col min="2" max="4" width="20" style="23" customWidth="1"/>
    <col min="5" max="5" width="40.28515625" style="23" bestFit="1" customWidth="1"/>
    <col min="6" max="6" width="30.85546875" style="23" bestFit="1" customWidth="1"/>
    <col min="7" max="7" width="53.7109375" style="23" bestFit="1" customWidth="1"/>
    <col min="8" max="12" width="9.140625" style="23" customWidth="1"/>
    <col min="13" max="16384" width="9.140625" style="23"/>
  </cols>
  <sheetData>
    <row r="1" spans="1:7" x14ac:dyDescent="0.25">
      <c r="A1" s="86" t="s">
        <v>471</v>
      </c>
      <c r="B1" s="67"/>
      <c r="C1" s="67"/>
      <c r="D1" s="67"/>
      <c r="E1" s="67"/>
      <c r="F1" s="67"/>
      <c r="G1" s="68"/>
    </row>
    <row r="3" spans="1:7" ht="15.95" customHeight="1" x14ac:dyDescent="0.25">
      <c r="A3" s="83" t="s">
        <v>472</v>
      </c>
      <c r="B3" s="67"/>
      <c r="C3" s="67"/>
      <c r="D3" s="67"/>
      <c r="E3" s="67"/>
      <c r="F3" s="67"/>
      <c r="G3" s="68"/>
    </row>
    <row r="4" spans="1:7" ht="14.1" customHeight="1" x14ac:dyDescent="0.25">
      <c r="A4" s="88" t="s">
        <v>473</v>
      </c>
      <c r="B4" s="67"/>
      <c r="C4" s="67"/>
      <c r="D4" s="67"/>
      <c r="E4" s="67"/>
      <c r="F4" s="67"/>
      <c r="G4" s="68"/>
    </row>
    <row r="5" spans="1:7" ht="30" customHeight="1" x14ac:dyDescent="0.25">
      <c r="A5" s="33" t="s">
        <v>474</v>
      </c>
      <c r="B5" s="33" t="s">
        <v>475</v>
      </c>
      <c r="C5" s="33" t="s">
        <v>476</v>
      </c>
      <c r="D5" s="33" t="s">
        <v>477</v>
      </c>
      <c r="E5" s="33" t="s">
        <v>478</v>
      </c>
      <c r="F5" s="33" t="s">
        <v>479</v>
      </c>
      <c r="G5" s="33" t="s">
        <v>480</v>
      </c>
    </row>
    <row r="6" spans="1:7" x14ac:dyDescent="0.25">
      <c r="A6" s="31" t="s">
        <v>481</v>
      </c>
      <c r="B6" s="34">
        <v>228</v>
      </c>
      <c r="C6" s="34">
        <v>250.62</v>
      </c>
      <c r="D6" s="34">
        <v>276</v>
      </c>
      <c r="E6" s="34">
        <v>322.92</v>
      </c>
      <c r="F6" s="34">
        <v>372</v>
      </c>
      <c r="G6" s="31" t="s">
        <v>482</v>
      </c>
    </row>
    <row r="7" spans="1:7" x14ac:dyDescent="0.25">
      <c r="A7" s="31" t="s">
        <v>483</v>
      </c>
      <c r="B7" s="34">
        <v>236.4</v>
      </c>
      <c r="C7" s="34">
        <v>263.13600000000002</v>
      </c>
      <c r="D7" s="34">
        <v>292.8</v>
      </c>
      <c r="E7" s="34">
        <v>348.036</v>
      </c>
      <c r="F7" s="34">
        <v>405.6</v>
      </c>
      <c r="G7" s="31" t="s">
        <v>484</v>
      </c>
    </row>
    <row r="8" spans="1:7" x14ac:dyDescent="0.25">
      <c r="A8" s="31" t="s">
        <v>485</v>
      </c>
      <c r="B8" s="34">
        <v>245.88</v>
      </c>
      <c r="C8" s="34">
        <v>277.26119999999997</v>
      </c>
      <c r="D8" s="34">
        <v>311.76</v>
      </c>
      <c r="E8" s="34">
        <v>376.38119999999998</v>
      </c>
      <c r="F8" s="34">
        <v>443.52</v>
      </c>
      <c r="G8" s="31" t="s">
        <v>486</v>
      </c>
    </row>
    <row r="9" spans="1:7" x14ac:dyDescent="0.25">
      <c r="A9" s="31" t="s">
        <v>487</v>
      </c>
      <c r="B9" s="34">
        <v>256.8</v>
      </c>
      <c r="C9" s="34">
        <v>293.53199999999998</v>
      </c>
      <c r="D9" s="34">
        <v>333.6</v>
      </c>
      <c r="E9" s="34">
        <v>409.03199999999998</v>
      </c>
      <c r="F9" s="34">
        <v>487.2</v>
      </c>
      <c r="G9" s="31" t="s">
        <v>488</v>
      </c>
    </row>
    <row r="10" spans="1:7" x14ac:dyDescent="0.25">
      <c r="A10" s="31" t="s">
        <v>489</v>
      </c>
      <c r="B10" s="34">
        <v>268.8</v>
      </c>
      <c r="C10" s="34">
        <v>311.41199999999998</v>
      </c>
      <c r="D10" s="34">
        <v>357.6</v>
      </c>
      <c r="E10" s="34">
        <v>444.91199999999998</v>
      </c>
      <c r="F10" s="34">
        <v>535.20000000000005</v>
      </c>
      <c r="G10" s="31" t="s">
        <v>490</v>
      </c>
    </row>
    <row r="12" spans="1:7" ht="15.95" customHeight="1" x14ac:dyDescent="0.25">
      <c r="A12" s="83" t="s">
        <v>491</v>
      </c>
      <c r="B12" s="67"/>
      <c r="C12" s="67"/>
      <c r="D12" s="67"/>
      <c r="E12" s="67"/>
      <c r="F12" s="67"/>
      <c r="G12" s="68"/>
    </row>
    <row r="13" spans="1:7" x14ac:dyDescent="0.25">
      <c r="A13" s="33" t="s">
        <v>492</v>
      </c>
      <c r="B13" s="33" t="s">
        <v>493</v>
      </c>
      <c r="C13" s="33" t="s">
        <v>494</v>
      </c>
      <c r="D13" s="33" t="s">
        <v>495</v>
      </c>
      <c r="E13" s="33" t="s">
        <v>496</v>
      </c>
      <c r="F13" s="33" t="s">
        <v>497</v>
      </c>
      <c r="G13" s="33" t="s">
        <v>498</v>
      </c>
    </row>
    <row r="14" spans="1:7" x14ac:dyDescent="0.25">
      <c r="A14" s="31" t="s">
        <v>499</v>
      </c>
      <c r="B14" s="34">
        <v>-644.34158400000001</v>
      </c>
      <c r="C14" s="34">
        <v>-645.344964</v>
      </c>
      <c r="D14" s="34">
        <v>-646.348344</v>
      </c>
      <c r="E14" s="34">
        <v>-647.35172399999999</v>
      </c>
      <c r="F14" s="34">
        <v>-648.35510399999998</v>
      </c>
      <c r="G14" s="31" t="s">
        <v>500</v>
      </c>
    </row>
    <row r="15" spans="1:7" x14ac:dyDescent="0.25">
      <c r="A15" s="31" t="s">
        <v>501</v>
      </c>
      <c r="B15" s="34">
        <v>-624.87266399999999</v>
      </c>
      <c r="C15" s="34">
        <v>-626.87942399999997</v>
      </c>
      <c r="D15" s="34">
        <v>-627.88280399999996</v>
      </c>
      <c r="E15" s="34">
        <v>-630.89294400000006</v>
      </c>
      <c r="F15" s="34">
        <v>-632.89970400000004</v>
      </c>
      <c r="G15" s="31" t="s">
        <v>502</v>
      </c>
    </row>
    <row r="16" spans="1:7" x14ac:dyDescent="0.25">
      <c r="A16" s="31" t="s">
        <v>503</v>
      </c>
      <c r="B16" s="34">
        <v>-605.26992399999995</v>
      </c>
      <c r="C16" s="34">
        <v>-607.27668400000005</v>
      </c>
      <c r="D16" s="34">
        <v>-610.28682400000002</v>
      </c>
      <c r="E16" s="34">
        <v>-613.296964</v>
      </c>
      <c r="F16" s="34">
        <v>-617.31048399999997</v>
      </c>
      <c r="G16" s="31" t="s">
        <v>504</v>
      </c>
    </row>
    <row r="17" spans="1:7" x14ac:dyDescent="0.25">
      <c r="A17" s="31" t="s">
        <v>505</v>
      </c>
      <c r="B17" s="34">
        <v>-584.79762400000004</v>
      </c>
      <c r="C17" s="34">
        <v>-588.81114400000001</v>
      </c>
      <c r="D17" s="34">
        <v>-591.82128399999999</v>
      </c>
      <c r="E17" s="34">
        <v>-596.83818399999996</v>
      </c>
      <c r="F17" s="34">
        <v>-600.85170400000004</v>
      </c>
      <c r="G17" s="31" t="s">
        <v>506</v>
      </c>
    </row>
    <row r="18" spans="1:7" x14ac:dyDescent="0.25">
      <c r="A18" s="31" t="s">
        <v>507</v>
      </c>
      <c r="B18" s="34">
        <v>-545.72596399999998</v>
      </c>
      <c r="C18" s="34">
        <v>-550.74286400000005</v>
      </c>
      <c r="D18" s="34">
        <v>-555.75976400000002</v>
      </c>
      <c r="E18" s="34">
        <v>-562.78342399999997</v>
      </c>
      <c r="F18" s="34">
        <v>-569.80708400000003</v>
      </c>
      <c r="G18" s="31" t="s">
        <v>508</v>
      </c>
    </row>
    <row r="20" spans="1:7" ht="15.95" customHeight="1" x14ac:dyDescent="0.25">
      <c r="A20" s="83" t="s">
        <v>509</v>
      </c>
      <c r="B20" s="67"/>
      <c r="C20" s="67"/>
      <c r="D20" s="67"/>
      <c r="E20" s="68"/>
    </row>
    <row r="21" spans="1:7" ht="30" customHeight="1" x14ac:dyDescent="0.25">
      <c r="A21" s="33" t="s">
        <v>510</v>
      </c>
      <c r="B21" s="33" t="s">
        <v>511</v>
      </c>
      <c r="C21" s="33" t="s">
        <v>512</v>
      </c>
      <c r="D21" s="33" t="s">
        <v>513</v>
      </c>
      <c r="E21" s="33" t="s">
        <v>498</v>
      </c>
      <c r="F21" s="41"/>
      <c r="G21" s="41"/>
    </row>
    <row r="22" spans="1:7" ht="15" customHeight="1" x14ac:dyDescent="0.25">
      <c r="A22" s="31" t="s">
        <v>514</v>
      </c>
      <c r="B22" s="35" t="s">
        <v>515</v>
      </c>
      <c r="C22" s="36">
        <v>6.0000000000000001E-3</v>
      </c>
      <c r="D22" s="35" t="s">
        <v>516</v>
      </c>
      <c r="E22" s="31" t="s">
        <v>517</v>
      </c>
    </row>
    <row r="23" spans="1:7" ht="15" customHeight="1" x14ac:dyDescent="0.25">
      <c r="A23" s="31" t="s">
        <v>518</v>
      </c>
      <c r="B23" s="35" t="s">
        <v>519</v>
      </c>
      <c r="C23" s="36">
        <v>1.2E-2</v>
      </c>
      <c r="D23" s="35" t="s">
        <v>520</v>
      </c>
      <c r="E23" s="31" t="s">
        <v>521</v>
      </c>
    </row>
    <row r="24" spans="1:7" ht="15" customHeight="1" x14ac:dyDescent="0.25">
      <c r="A24" s="31" t="s">
        <v>522</v>
      </c>
      <c r="B24" s="35" t="s">
        <v>523</v>
      </c>
      <c r="C24" s="36">
        <v>2.5000000000000001E-2</v>
      </c>
      <c r="D24" s="35" t="s">
        <v>524</v>
      </c>
      <c r="E24" s="31" t="s">
        <v>525</v>
      </c>
    </row>
    <row r="25" spans="1:7" ht="15" customHeight="1" x14ac:dyDescent="0.25">
      <c r="A25" s="31" t="s">
        <v>526</v>
      </c>
      <c r="B25" s="35" t="s">
        <v>527</v>
      </c>
      <c r="C25" s="36">
        <v>6.2E-2</v>
      </c>
      <c r="D25" s="35" t="s">
        <v>528</v>
      </c>
      <c r="E25" s="31" t="s">
        <v>529</v>
      </c>
    </row>
    <row r="26" spans="1:7" ht="15" customHeight="1" x14ac:dyDescent="0.25">
      <c r="A26" s="31" t="s">
        <v>530</v>
      </c>
      <c r="B26" s="35" t="s">
        <v>531</v>
      </c>
      <c r="C26" s="36">
        <v>0.125</v>
      </c>
      <c r="D26" s="35" t="s">
        <v>532</v>
      </c>
      <c r="E26" s="31" t="s">
        <v>533</v>
      </c>
    </row>
    <row r="27" spans="1:7" ht="15" customHeight="1" x14ac:dyDescent="0.25">
      <c r="A27" s="31" t="s">
        <v>534</v>
      </c>
      <c r="B27" s="35" t="s">
        <v>535</v>
      </c>
      <c r="C27" s="36">
        <v>0.25</v>
      </c>
      <c r="D27" s="35" t="s">
        <v>536</v>
      </c>
      <c r="E27" s="31" t="s">
        <v>537</v>
      </c>
    </row>
    <row r="29" spans="1:7" ht="15.95" customHeight="1" x14ac:dyDescent="0.25">
      <c r="A29" s="84" t="s">
        <v>538</v>
      </c>
      <c r="B29" s="67"/>
      <c r="C29" s="67"/>
      <c r="D29" s="67"/>
      <c r="E29" s="67"/>
      <c r="F29" s="68"/>
    </row>
    <row r="30" spans="1:7" x14ac:dyDescent="0.25">
      <c r="A30" s="37" t="s">
        <v>539</v>
      </c>
      <c r="B30" s="37" t="s">
        <v>540</v>
      </c>
      <c r="C30" s="37" t="s">
        <v>541</v>
      </c>
      <c r="D30" s="37" t="s">
        <v>542</v>
      </c>
      <c r="E30" s="37" t="s">
        <v>543</v>
      </c>
      <c r="F30" s="37" t="s">
        <v>498</v>
      </c>
    </row>
    <row r="31" spans="1:7" ht="27.95" customHeight="1" x14ac:dyDescent="0.25">
      <c r="A31" s="38" t="s">
        <v>544</v>
      </c>
      <c r="B31" s="38" t="s">
        <v>545</v>
      </c>
      <c r="C31" s="38" t="s">
        <v>546</v>
      </c>
      <c r="D31" s="38" t="s">
        <v>547</v>
      </c>
      <c r="E31" s="38" t="s">
        <v>548</v>
      </c>
      <c r="F31" s="38" t="s">
        <v>549</v>
      </c>
    </row>
    <row r="32" spans="1:7" ht="27.95" customHeight="1" x14ac:dyDescent="0.25">
      <c r="A32" s="38" t="s">
        <v>550</v>
      </c>
      <c r="B32" s="38" t="s">
        <v>551</v>
      </c>
      <c r="C32" s="38" t="s">
        <v>552</v>
      </c>
      <c r="D32" s="38" t="s">
        <v>553</v>
      </c>
      <c r="E32" s="38" t="s">
        <v>554</v>
      </c>
      <c r="F32" s="38" t="s">
        <v>555</v>
      </c>
    </row>
    <row r="33" spans="1:6" ht="27.95" customHeight="1" x14ac:dyDescent="0.25">
      <c r="A33" s="38" t="s">
        <v>556</v>
      </c>
      <c r="B33" s="38" t="s">
        <v>557</v>
      </c>
      <c r="C33" s="38" t="s">
        <v>558</v>
      </c>
      <c r="D33" s="38" t="s">
        <v>547</v>
      </c>
      <c r="E33" s="38" t="s">
        <v>559</v>
      </c>
      <c r="F33" s="38" t="s">
        <v>560</v>
      </c>
    </row>
    <row r="34" spans="1:6" ht="27.95" customHeight="1" x14ac:dyDescent="0.25">
      <c r="A34" s="38" t="s">
        <v>561</v>
      </c>
      <c r="B34" s="38" t="s">
        <v>562</v>
      </c>
      <c r="C34" s="38" t="s">
        <v>563</v>
      </c>
      <c r="D34" s="38" t="s">
        <v>564</v>
      </c>
      <c r="E34" s="38" t="s">
        <v>565</v>
      </c>
      <c r="F34" s="38" t="s">
        <v>566</v>
      </c>
    </row>
    <row r="36" spans="1:6" x14ac:dyDescent="0.25">
      <c r="A36" s="66" t="s">
        <v>567</v>
      </c>
      <c r="B36" s="67"/>
      <c r="C36" s="67"/>
      <c r="D36" s="68"/>
    </row>
    <row r="38" spans="1:6" x14ac:dyDescent="0.25">
      <c r="A38" s="2" t="s">
        <v>568</v>
      </c>
      <c r="B38" s="2" t="s">
        <v>569</v>
      </c>
      <c r="C38" s="2" t="s">
        <v>570</v>
      </c>
      <c r="D38" s="2" t="s">
        <v>571</v>
      </c>
    </row>
    <row r="39" spans="1:6" x14ac:dyDescent="0.25">
      <c r="A39" s="1" t="s">
        <v>572</v>
      </c>
      <c r="B39" s="44">
        <v>0.08</v>
      </c>
      <c r="C39" s="44">
        <f>Inputs!$B$8</f>
        <v>0.05</v>
      </c>
      <c r="D39" s="44">
        <v>0.21</v>
      </c>
    </row>
    <row r="40" spans="1:6" x14ac:dyDescent="0.25">
      <c r="A40" s="1" t="s">
        <v>573</v>
      </c>
      <c r="B40" s="54">
        <v>5200000</v>
      </c>
      <c r="C40" s="54">
        <f>Inputs!$B$43</f>
        <v>2400000</v>
      </c>
      <c r="D40" s="54">
        <v>2700000</v>
      </c>
    </row>
    <row r="41" spans="1:6" x14ac:dyDescent="0.25">
      <c r="A41" s="1" t="s">
        <v>574</v>
      </c>
      <c r="B41" s="48">
        <v>3.7999999999999999E-2</v>
      </c>
      <c r="C41" s="48">
        <f>Inputs!$B$27</f>
        <v>5.5E-2</v>
      </c>
      <c r="D41" s="48">
        <v>7.1999999999999995E-2</v>
      </c>
    </row>
  </sheetData>
  <mergeCells count="7">
    <mergeCell ref="A29:F29"/>
    <mergeCell ref="A36:D36"/>
    <mergeCell ref="A1:G1"/>
    <mergeCell ref="A20:E20"/>
    <mergeCell ref="A3:G3"/>
    <mergeCell ref="A12:G12"/>
    <mergeCell ref="A4:G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21"/>
  <sheetViews>
    <sheetView workbookViewId="0">
      <selection activeCell="H15" sqref="H15"/>
    </sheetView>
  </sheetViews>
  <sheetFormatPr defaultRowHeight="15" x14ac:dyDescent="0.25"/>
  <cols>
    <col min="1" max="1" width="35.28515625" bestFit="1" customWidth="1"/>
    <col min="2" max="2" width="20" customWidth="1"/>
    <col min="3" max="3" width="18" customWidth="1"/>
    <col min="4" max="4" width="31.42578125" bestFit="1" customWidth="1"/>
    <col min="5" max="5" width="16" customWidth="1"/>
    <col min="6" max="6" width="14" customWidth="1"/>
    <col min="8" max="8" width="42" customWidth="1"/>
    <col min="9" max="9" width="24" customWidth="1"/>
  </cols>
  <sheetData>
    <row r="1" spans="1:6" x14ac:dyDescent="0.25">
      <c r="A1" s="66" t="s">
        <v>0</v>
      </c>
      <c r="B1" s="67"/>
      <c r="C1" s="67"/>
      <c r="D1" s="67"/>
      <c r="E1" s="67"/>
      <c r="F1" s="68"/>
    </row>
    <row r="2" spans="1:6" x14ac:dyDescent="0.25">
      <c r="A2" s="66" t="s">
        <v>1</v>
      </c>
      <c r="B2" s="67"/>
      <c r="C2" s="67"/>
      <c r="D2" s="67"/>
      <c r="E2" s="67"/>
      <c r="F2" s="68"/>
    </row>
    <row r="4" spans="1:6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 x14ac:dyDescent="0.25">
      <c r="A5" s="1">
        <v>1</v>
      </c>
      <c r="B5" s="55">
        <f>SUM('P&amp;G 36 Meses'!B17:M17)</f>
        <v>215465600</v>
      </c>
      <c r="C5" s="55">
        <f>SUM('P&amp;G 36 Meses'!B36:M36)</f>
        <v>-258686334</v>
      </c>
      <c r="D5" s="55">
        <f>SUM('P&amp;G 36 Meses'!B41:M41)</f>
        <v>-331382056.66666669</v>
      </c>
      <c r="E5" s="63">
        <f t="shared" ref="E5:E14" si="0">IFERROR(D5/B5,0)</f>
        <v>-1.5379812678528113</v>
      </c>
      <c r="F5" s="1" t="str">
        <f t="shared" ref="F5:F14" si="1">IF(D5&gt;0,"Rentable","No rentable")</f>
        <v>No rentable</v>
      </c>
    </row>
    <row r="6" spans="1:6" x14ac:dyDescent="0.25">
      <c r="A6" s="1">
        <v>2</v>
      </c>
      <c r="B6" s="55">
        <f>SUM('P&amp;G 36 Meses'!N17:Z17)</f>
        <v>659488950</v>
      </c>
      <c r="C6" s="55">
        <f>SUM('P&amp;G 36 Meses'!N36:Z36)</f>
        <v>-8366301</v>
      </c>
      <c r="D6" s="55">
        <f>SUM('P&amp;G 36 Meses'!N41:Z41)</f>
        <v>-88144317.988888904</v>
      </c>
      <c r="E6" s="63">
        <f t="shared" si="0"/>
        <v>-0.13365548882796127</v>
      </c>
      <c r="F6" s="1" t="str">
        <f t="shared" si="1"/>
        <v>No rentable</v>
      </c>
    </row>
    <row r="7" spans="1:6" x14ac:dyDescent="0.25">
      <c r="A7" s="1">
        <v>3</v>
      </c>
      <c r="B7" s="55">
        <f>SUM('P&amp;G 36 Meses'!AA17:AK17)</f>
        <v>973849250</v>
      </c>
      <c r="C7" s="55">
        <f>SUM('P&amp;G 36 Meses'!AA36:AK36)</f>
        <v>215310083</v>
      </c>
      <c r="D7" s="55">
        <f>SUM('P&amp;G 36 Meses'!AA41:AK41)</f>
        <v>99610465.938888907</v>
      </c>
      <c r="E7" s="63">
        <f t="shared" si="0"/>
        <v>0.10228530333507872</v>
      </c>
      <c r="F7" s="1" t="str">
        <f t="shared" si="1"/>
        <v>Rentable</v>
      </c>
    </row>
    <row r="8" spans="1:6" x14ac:dyDescent="0.25">
      <c r="A8" s="1">
        <v>4</v>
      </c>
      <c r="B8" s="55">
        <f t="shared" ref="B8:B14" si="2">B7*(1+$E$17)</f>
        <v>1748893336.204406</v>
      </c>
      <c r="C8" s="55">
        <f t="shared" ref="C8:C14" si="3">C7+$E$18</f>
        <v>438986467</v>
      </c>
      <c r="D8" s="55">
        <f t="shared" ref="D8:D14" si="4">C8*$E$19</f>
        <v>203091494.41336975</v>
      </c>
      <c r="E8" s="63">
        <f t="shared" si="0"/>
        <v>0.11612571802356787</v>
      </c>
      <c r="F8" s="1" t="str">
        <f t="shared" si="1"/>
        <v>Rentable</v>
      </c>
    </row>
    <row r="9" spans="1:6" x14ac:dyDescent="0.25">
      <c r="A9" s="1">
        <v>5</v>
      </c>
      <c r="B9" s="55">
        <f t="shared" si="2"/>
        <v>3140761161.3606291</v>
      </c>
      <c r="C9" s="55">
        <f t="shared" si="3"/>
        <v>662662851</v>
      </c>
      <c r="D9" s="55">
        <f t="shared" si="4"/>
        <v>306572522.88785058</v>
      </c>
      <c r="E9" s="63">
        <f t="shared" si="0"/>
        <v>9.7610899758782788E-2</v>
      </c>
      <c r="F9" s="1" t="str">
        <f t="shared" si="1"/>
        <v>Rentable</v>
      </c>
    </row>
    <row r="10" spans="1:6" x14ac:dyDescent="0.25">
      <c r="A10" s="1">
        <v>6</v>
      </c>
      <c r="B10" s="55">
        <f t="shared" si="2"/>
        <v>5640355800.1540947</v>
      </c>
      <c r="C10" s="55">
        <f t="shared" si="3"/>
        <v>886339235</v>
      </c>
      <c r="D10" s="55">
        <f t="shared" si="4"/>
        <v>410053551.36233145</v>
      </c>
      <c r="E10" s="63">
        <f t="shared" si="0"/>
        <v>7.2699944097698366E-2</v>
      </c>
      <c r="F10" s="1" t="str">
        <f t="shared" si="1"/>
        <v>Rentable</v>
      </c>
    </row>
    <row r="11" spans="1:6" x14ac:dyDescent="0.25">
      <c r="A11" s="1">
        <v>7</v>
      </c>
      <c r="B11" s="55">
        <f t="shared" si="2"/>
        <v>10129268644.72234</v>
      </c>
      <c r="C11" s="55">
        <f t="shared" si="3"/>
        <v>1110015619</v>
      </c>
      <c r="D11" s="55">
        <f t="shared" si="4"/>
        <v>513534579.83681232</v>
      </c>
      <c r="E11" s="63">
        <f t="shared" si="0"/>
        <v>5.0698090637015497E-2</v>
      </c>
      <c r="F11" s="1" t="str">
        <f t="shared" si="1"/>
        <v>Rentable</v>
      </c>
    </row>
    <row r="12" spans="1:6" x14ac:dyDescent="0.25">
      <c r="A12" s="1">
        <v>8</v>
      </c>
      <c r="B12" s="55">
        <f t="shared" si="2"/>
        <v>18190711173.602211</v>
      </c>
      <c r="C12" s="55">
        <f t="shared" si="3"/>
        <v>1333692003</v>
      </c>
      <c r="D12" s="55">
        <f t="shared" si="4"/>
        <v>617015608.31129313</v>
      </c>
      <c r="E12" s="63">
        <f t="shared" si="0"/>
        <v>3.3919268049656399E-2</v>
      </c>
      <c r="F12" s="1" t="str">
        <f t="shared" si="1"/>
        <v>Rentable</v>
      </c>
    </row>
    <row r="13" spans="1:6" x14ac:dyDescent="0.25">
      <c r="A13" s="1">
        <v>9</v>
      </c>
      <c r="B13" s="55">
        <f t="shared" si="2"/>
        <v>32667903735.95496</v>
      </c>
      <c r="C13" s="55">
        <f t="shared" si="3"/>
        <v>1557368387</v>
      </c>
      <c r="D13" s="55">
        <f t="shared" si="4"/>
        <v>720496636.78577399</v>
      </c>
      <c r="E13" s="63">
        <f t="shared" si="0"/>
        <v>2.2055184275346713E-2</v>
      </c>
      <c r="F13" s="1" t="str">
        <f t="shared" si="1"/>
        <v>Rentable</v>
      </c>
    </row>
    <row r="14" spans="1:6" x14ac:dyDescent="0.25">
      <c r="A14" s="1">
        <v>10</v>
      </c>
      <c r="B14" s="55">
        <f t="shared" si="2"/>
        <v>58666861582.096664</v>
      </c>
      <c r="C14" s="55">
        <f t="shared" si="3"/>
        <v>1781044771</v>
      </c>
      <c r="D14" s="55">
        <f t="shared" si="4"/>
        <v>823977665.26025486</v>
      </c>
      <c r="E14" s="63">
        <f t="shared" si="0"/>
        <v>1.4045027176154719E-2</v>
      </c>
      <c r="F14" s="1" t="str">
        <f t="shared" si="1"/>
        <v>Rentable</v>
      </c>
    </row>
    <row r="16" spans="1:6" x14ac:dyDescent="0.25">
      <c r="A16" s="1" t="s">
        <v>8</v>
      </c>
      <c r="B16" s="1">
        <f t="array" ref="B16">IFERROR(INDEX(A5:A14,MATCH(TRUE,D5:D14&gt;0,0)),"&gt;10")</f>
        <v>3</v>
      </c>
      <c r="C16" s="64"/>
      <c r="D16" s="66" t="s">
        <v>9</v>
      </c>
      <c r="E16" s="68"/>
    </row>
    <row r="17" spans="1:5" x14ac:dyDescent="0.25">
      <c r="A17" s="1" t="s">
        <v>10</v>
      </c>
      <c r="B17" s="65">
        <f>IF(B16="&gt;10","n/d",INDEX(B5:B14,MATCH(B16,A5:A14,0)))</f>
        <v>973849250</v>
      </c>
      <c r="D17" s="1" t="s">
        <v>11</v>
      </c>
      <c r="E17" s="44">
        <f>(1+Inputs!$B$8)^12-1</f>
        <v>0.79585632602212919</v>
      </c>
    </row>
    <row r="18" spans="1:5" x14ac:dyDescent="0.25">
      <c r="A18" s="1" t="s">
        <v>12</v>
      </c>
      <c r="B18" s="44">
        <f>IF(B16="&gt;10","n/d",INDEX(E5:E14,MATCH(B16,A5:A14,0)))</f>
        <v>0.10228530333507872</v>
      </c>
      <c r="D18" s="1" t="s">
        <v>13</v>
      </c>
      <c r="E18" s="65">
        <f>MAX(0,C7-C6)</f>
        <v>223676384</v>
      </c>
    </row>
    <row r="19" spans="1:5" x14ac:dyDescent="0.25">
      <c r="D19" s="1" t="s">
        <v>14</v>
      </c>
      <c r="E19" s="44">
        <f>IFERROR(D7/C7,0)</f>
        <v>0.46263725577073372</v>
      </c>
    </row>
    <row r="20" spans="1:5" x14ac:dyDescent="0.25">
      <c r="A20" s="1" t="s">
        <v>15</v>
      </c>
      <c r="B20" s="44">
        <f>'Indicadores Financieros'!B10</f>
        <v>0.67165324766459245</v>
      </c>
    </row>
    <row r="21" spans="1:5" x14ac:dyDescent="0.25">
      <c r="A21" s="1" t="s">
        <v>16</v>
      </c>
      <c r="B21" s="44">
        <f>'Indicadores Financieros'!B9</f>
        <v>-0.29047501897959804</v>
      </c>
    </row>
  </sheetData>
  <mergeCells count="3">
    <mergeCell ref="A2:F2"/>
    <mergeCell ref="D16:E16"/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28"/>
  <sheetViews>
    <sheetView tabSelected="1" workbookViewId="0">
      <selection activeCell="D13" sqref="D13"/>
    </sheetView>
  </sheetViews>
  <sheetFormatPr defaultRowHeight="15" x14ac:dyDescent="0.25"/>
  <cols>
    <col min="1" max="1" width="95" style="23" customWidth="1"/>
    <col min="2" max="2" width="9.140625" style="23" customWidth="1"/>
    <col min="3" max="3" width="50.28515625" style="23" customWidth="1"/>
    <col min="4" max="4" width="45" customWidth="1"/>
    <col min="5" max="5" width="42" style="23" customWidth="1"/>
    <col min="6" max="6" width="52" style="23" customWidth="1"/>
    <col min="7" max="11" width="9.140625" style="23" customWidth="1"/>
    <col min="12" max="16384" width="9.140625" style="23"/>
  </cols>
  <sheetData>
    <row r="1" spans="1:6" x14ac:dyDescent="0.25">
      <c r="A1" s="29" t="s">
        <v>597</v>
      </c>
    </row>
    <row r="3" spans="1:6" ht="18" customHeight="1" x14ac:dyDescent="0.25">
      <c r="A3" s="93" t="s">
        <v>575</v>
      </c>
      <c r="C3" s="84" t="s">
        <v>576</v>
      </c>
      <c r="D3" s="92"/>
      <c r="E3" s="92"/>
    </row>
    <row r="4" spans="1:6" ht="45" x14ac:dyDescent="0.25">
      <c r="A4" s="39" t="s">
        <v>577</v>
      </c>
      <c r="C4" s="38" t="s">
        <v>578</v>
      </c>
      <c r="D4" s="38" t="s">
        <v>579</v>
      </c>
      <c r="E4" s="38" t="s">
        <v>580</v>
      </c>
    </row>
    <row r="5" spans="1:6" ht="45" x14ac:dyDescent="0.25">
      <c r="A5" s="95" t="s">
        <v>581</v>
      </c>
      <c r="C5" s="38" t="s">
        <v>582</v>
      </c>
      <c r="D5" s="38" t="s">
        <v>583</v>
      </c>
      <c r="E5" s="38" t="s">
        <v>584</v>
      </c>
    </row>
    <row r="6" spans="1:6" ht="45" x14ac:dyDescent="0.25">
      <c r="A6" s="39" t="s">
        <v>585</v>
      </c>
      <c r="C6" s="38" t="s">
        <v>587</v>
      </c>
      <c r="D6" s="38" t="s">
        <v>588</v>
      </c>
      <c r="E6" s="38" t="s">
        <v>589</v>
      </c>
    </row>
    <row r="7" spans="1:6" ht="30" customHeight="1" x14ac:dyDescent="0.25">
      <c r="A7" s="7" t="s">
        <v>586</v>
      </c>
      <c r="D7" s="89"/>
      <c r="E7" s="89"/>
      <c r="F7" s="89"/>
    </row>
    <row r="8" spans="1:6" ht="30" customHeight="1" x14ac:dyDescent="0.25">
      <c r="A8" s="94" t="s">
        <v>590</v>
      </c>
      <c r="D8" s="90"/>
      <c r="E8" s="91"/>
      <c r="F8" s="91"/>
    </row>
    <row r="9" spans="1:6" x14ac:dyDescent="0.25">
      <c r="A9" s="95" t="s">
        <v>591</v>
      </c>
    </row>
    <row r="10" spans="1:6" x14ac:dyDescent="0.25">
      <c r="A10" s="39" t="s">
        <v>592</v>
      </c>
      <c r="D10" s="23"/>
    </row>
    <row r="11" spans="1:6" x14ac:dyDescent="0.25">
      <c r="A11" s="39" t="s">
        <v>593</v>
      </c>
      <c r="D11" s="23"/>
    </row>
    <row r="12" spans="1:6" x14ac:dyDescent="0.25">
      <c r="A12" s="7" t="s">
        <v>594</v>
      </c>
      <c r="D12" s="23"/>
    </row>
    <row r="13" spans="1:6" ht="18" customHeight="1" x14ac:dyDescent="0.25">
      <c r="A13" s="29" t="s">
        <v>595</v>
      </c>
      <c r="D13" s="23"/>
    </row>
    <row r="14" spans="1:6" ht="60" x14ac:dyDescent="0.25">
      <c r="A14" s="40" t="s">
        <v>596</v>
      </c>
    </row>
    <row r="21" ht="18" customHeight="1" x14ac:dyDescent="0.25"/>
    <row r="25" ht="35.1" customHeight="1" x14ac:dyDescent="0.25"/>
    <row r="26" ht="35.1" customHeight="1" x14ac:dyDescent="0.25"/>
    <row r="27" ht="35.1" customHeight="1" x14ac:dyDescent="0.25"/>
    <row r="28" ht="35.1" customHeight="1" x14ac:dyDescent="0.25"/>
  </sheetData>
  <mergeCells count="1">
    <mergeCell ref="C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Indicadores Financieros</vt:lpstr>
      <vt:lpstr>Supuestos</vt:lpstr>
      <vt:lpstr>CAPEX</vt:lpstr>
      <vt:lpstr>Cloud</vt:lpstr>
      <vt:lpstr>AI</vt:lpstr>
      <vt:lpstr>Transaccional</vt:lpstr>
      <vt:lpstr>OPEX</vt:lpstr>
      <vt:lpstr>Inputs</vt:lpstr>
      <vt:lpstr>Unit Economics</vt:lpstr>
      <vt:lpstr>P&amp;G 12 Meses</vt:lpstr>
      <vt:lpstr>Cash Flow</vt:lpstr>
      <vt:lpstr>P&amp;G 36 Meses</vt:lpstr>
      <vt:lpstr>FC Proyecto</vt:lpstr>
      <vt:lpstr>FC Empresa</vt:lpstr>
      <vt:lpstr>Sensibilidad</vt:lpstr>
      <vt:lpstr>Ruta Rentabilidad</vt:lpstr>
      <vt:lpstr>Conclusión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SANTIAGO  BOTERO GARCIA</cp:lastModifiedBy>
  <dcterms:created xsi:type="dcterms:W3CDTF">2026-04-30T21:01:08Z</dcterms:created>
  <dcterms:modified xsi:type="dcterms:W3CDTF">2026-05-08T03:26:32Z</dcterms:modified>
</cp:coreProperties>
</file>