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anti\Desktop\Turismo Digital\finances\"/>
    </mc:Choice>
  </mc:AlternateContent>
  <xr:revisionPtr revIDLastSave="0" documentId="13_ncr:1_{6A4F7123-AA95-410F-9E82-69F3C9464A7D}" xr6:coauthVersionLast="47" xr6:coauthVersionMax="47" xr10:uidLastSave="{00000000-0000-0000-0000-000000000000}"/>
  <bookViews>
    <workbookView xWindow="-120" yWindow="-120" windowWidth="29040" windowHeight="15720" activeTab="10" xr2:uid="{9396D836-B60A-46FB-B725-C06D89489EE0}"/>
  </bookViews>
  <sheets>
    <sheet name="Supuestos" sheetId="6" r:id="rId1"/>
    <sheet name="CAPEX" sheetId="1" r:id="rId2"/>
    <sheet name="Cloud" sheetId="2" r:id="rId3"/>
    <sheet name="AI" sheetId="3" r:id="rId4"/>
    <sheet name="Transaccional" sheetId="7" r:id="rId5"/>
    <sheet name="OPEX" sheetId="4" r:id="rId6"/>
    <sheet name="Inputs" sheetId="9" r:id="rId7"/>
    <sheet name="Unit Economics" sheetId="10" r:id="rId8"/>
    <sheet name="P&amp;G 12 Meses" sheetId="11" r:id="rId9"/>
    <sheet name="Cash Flow" sheetId="12" r:id="rId10"/>
    <sheet name="Sensibilidad" sheetId="13" r:id="rId11"/>
    <sheet name="Conclusión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2" l="1"/>
  <c r="B16" i="12"/>
  <c r="C12" i="12"/>
  <c r="D12" i="12"/>
  <c r="E12" i="12"/>
  <c r="F12" i="12"/>
  <c r="G12" i="12"/>
  <c r="H12" i="12"/>
  <c r="I12" i="12"/>
  <c r="J12" i="12"/>
  <c r="K12" i="12"/>
  <c r="L12" i="12"/>
  <c r="M12" i="12"/>
  <c r="B12" i="12"/>
  <c r="B11" i="12"/>
  <c r="E6" i="12"/>
  <c r="F6" i="12"/>
  <c r="G6" i="12"/>
  <c r="H6" i="12"/>
  <c r="I6" i="12"/>
  <c r="J6" i="12"/>
  <c r="K6" i="12"/>
  <c r="L6" i="12"/>
  <c r="M6" i="12"/>
  <c r="D6" i="12"/>
  <c r="N6" i="12" s="1"/>
  <c r="C6" i="12"/>
  <c r="B6" i="12"/>
  <c r="C38" i="11"/>
  <c r="D38" i="11"/>
  <c r="E38" i="11"/>
  <c r="F38" i="11"/>
  <c r="G38" i="11"/>
  <c r="H38" i="11"/>
  <c r="I38" i="11"/>
  <c r="J38" i="11"/>
  <c r="K38" i="11"/>
  <c r="L38" i="11"/>
  <c r="M38" i="11"/>
  <c r="N38" i="11"/>
  <c r="B38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B32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B31" i="11"/>
  <c r="N22" i="11"/>
  <c r="C22" i="11"/>
  <c r="D22" i="11"/>
  <c r="E22" i="11"/>
  <c r="F22" i="11"/>
  <c r="G22" i="11"/>
  <c r="H22" i="11"/>
  <c r="I22" i="11"/>
  <c r="J22" i="11"/>
  <c r="K22" i="11"/>
  <c r="L22" i="11"/>
  <c r="M22" i="11"/>
  <c r="B22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N30" i="11" s="1"/>
  <c r="M9" i="11"/>
  <c r="L9" i="11"/>
  <c r="K9" i="11"/>
  <c r="J9" i="11"/>
  <c r="I9" i="11"/>
  <c r="H9" i="11"/>
  <c r="G9" i="11"/>
  <c r="F9" i="11"/>
  <c r="E9" i="11"/>
  <c r="E33" i="11" s="1"/>
  <c r="D9" i="11"/>
  <c r="D33" i="11" s="1"/>
  <c r="C9" i="11"/>
  <c r="C33" i="11" s="1"/>
  <c r="B9" i="11"/>
  <c r="B33" i="11" s="1"/>
  <c r="C8" i="11"/>
  <c r="D8" i="11" s="1"/>
  <c r="B8" i="11"/>
  <c r="B16" i="11" s="1"/>
  <c r="B7" i="11"/>
  <c r="B15" i="11" s="1"/>
  <c r="B6" i="11"/>
  <c r="B20" i="11" s="1"/>
  <c r="M5" i="11"/>
  <c r="M33" i="11" s="1"/>
  <c r="L5" i="11"/>
  <c r="L33" i="11" s="1"/>
  <c r="K5" i="11"/>
  <c r="K33" i="11" s="1"/>
  <c r="J5" i="11"/>
  <c r="J33" i="11" s="1"/>
  <c r="I5" i="11"/>
  <c r="I33" i="11" s="1"/>
  <c r="H5" i="11"/>
  <c r="H33" i="11" s="1"/>
  <c r="G5" i="11"/>
  <c r="G33" i="11" s="1"/>
  <c r="F5" i="11"/>
  <c r="F33" i="11" s="1"/>
  <c r="B5" i="11"/>
  <c r="M15" i="12"/>
  <c r="M16" i="12" s="1"/>
  <c r="L15" i="12"/>
  <c r="L16" i="12" s="1"/>
  <c r="K15" i="12"/>
  <c r="K16" i="12" s="1"/>
  <c r="J15" i="12"/>
  <c r="J16" i="12" s="1"/>
  <c r="I15" i="12"/>
  <c r="I16" i="12" s="1"/>
  <c r="H15" i="12"/>
  <c r="H16" i="12" s="1"/>
  <c r="G15" i="12"/>
  <c r="G16" i="12" s="1"/>
  <c r="F15" i="12"/>
  <c r="F16" i="12" s="1"/>
  <c r="E15" i="12"/>
  <c r="E16" i="12" s="1"/>
  <c r="D15" i="12"/>
  <c r="D16" i="12" s="1"/>
  <c r="C15" i="12"/>
  <c r="C16" i="12" s="1"/>
  <c r="B15" i="12"/>
  <c r="M11" i="12"/>
  <c r="L11" i="12"/>
  <c r="K11" i="12"/>
  <c r="J11" i="12"/>
  <c r="I11" i="12"/>
  <c r="H11" i="12"/>
  <c r="G11" i="12"/>
  <c r="F11" i="12"/>
  <c r="E11" i="12"/>
  <c r="D11" i="12"/>
  <c r="C11" i="12"/>
  <c r="E5" i="11"/>
  <c r="D5" i="11"/>
  <c r="C5" i="11"/>
  <c r="D23" i="10"/>
  <c r="C23" i="10"/>
  <c r="B23" i="10"/>
  <c r="D22" i="10"/>
  <c r="C22" i="10"/>
  <c r="B22" i="10"/>
  <c r="D21" i="10"/>
  <c r="C21" i="10"/>
  <c r="B21" i="10"/>
  <c r="D13" i="10"/>
  <c r="C13" i="10"/>
  <c r="C12" i="10"/>
  <c r="D14" i="10"/>
  <c r="C14" i="10"/>
  <c r="B14" i="10"/>
  <c r="B13" i="10"/>
  <c r="B12" i="10"/>
  <c r="D12" i="10"/>
  <c r="D11" i="10"/>
  <c r="C11" i="10"/>
  <c r="B11" i="10"/>
  <c r="D7" i="10"/>
  <c r="D8" i="10" s="1"/>
  <c r="B8" i="10"/>
  <c r="C8" i="10"/>
  <c r="C5" i="10"/>
  <c r="C6" i="10"/>
  <c r="B5" i="10"/>
  <c r="B40" i="9"/>
  <c r="K29" i="11" s="1"/>
  <c r="B28" i="9"/>
  <c r="B52" i="9"/>
  <c r="B51" i="9"/>
  <c r="B47" i="9"/>
  <c r="B44" i="9"/>
  <c r="B43" i="9"/>
  <c r="B37" i="9"/>
  <c r="B29" i="9"/>
  <c r="B26" i="9"/>
  <c r="C5" i="2"/>
  <c r="D5" i="2" s="1"/>
  <c r="D2" i="7"/>
  <c r="D3" i="7"/>
  <c r="D5" i="7"/>
  <c r="D4" i="7"/>
  <c r="C7" i="4"/>
  <c r="C8" i="4"/>
  <c r="C7" i="1"/>
  <c r="D7" i="4"/>
  <c r="D10" i="4"/>
  <c r="D8" i="4"/>
  <c r="D6" i="4"/>
  <c r="D5" i="4"/>
  <c r="D4" i="4"/>
  <c r="D3" i="4"/>
  <c r="D2" i="4"/>
  <c r="C10" i="2"/>
  <c r="D10" i="2" s="1"/>
  <c r="C9" i="2"/>
  <c r="D9" i="2" s="1"/>
  <c r="C8" i="2"/>
  <c r="D8" i="2" s="1"/>
  <c r="C7" i="2"/>
  <c r="D7" i="2" s="1"/>
  <c r="C2" i="2"/>
  <c r="D2" i="2" s="1"/>
  <c r="C6" i="2"/>
  <c r="C4" i="2"/>
  <c r="D4" i="2" s="1"/>
  <c r="D6" i="2"/>
  <c r="C3" i="2"/>
  <c r="D3" i="2" s="1"/>
  <c r="C6" i="1"/>
  <c r="C2" i="1"/>
  <c r="D4" i="3"/>
  <c r="C4" i="3"/>
  <c r="M21" i="12" l="1"/>
  <c r="L21" i="12"/>
  <c r="K21" i="12"/>
  <c r="J21" i="12"/>
  <c r="I21" i="12"/>
  <c r="H21" i="12"/>
  <c r="G21" i="12"/>
  <c r="E21" i="12"/>
  <c r="D21" i="12"/>
  <c r="B21" i="12"/>
  <c r="C21" i="12"/>
  <c r="B29" i="11"/>
  <c r="B34" i="11" s="1"/>
  <c r="B36" i="11" s="1"/>
  <c r="B5" i="12" s="1"/>
  <c r="C29" i="11"/>
  <c r="J29" i="11"/>
  <c r="J34" i="11" s="1"/>
  <c r="L29" i="11"/>
  <c r="M29" i="11"/>
  <c r="M34" i="11" s="1"/>
  <c r="E29" i="11"/>
  <c r="E34" i="11" s="1"/>
  <c r="D29" i="11"/>
  <c r="D34" i="11" s="1"/>
  <c r="F29" i="11"/>
  <c r="F34" i="11" s="1"/>
  <c r="G29" i="11"/>
  <c r="G34" i="11" s="1"/>
  <c r="H29" i="11"/>
  <c r="H34" i="11" s="1"/>
  <c r="I29" i="11"/>
  <c r="I34" i="11" s="1"/>
  <c r="D16" i="11"/>
  <c r="E8" i="11"/>
  <c r="B13" i="11"/>
  <c r="B21" i="11"/>
  <c r="C6" i="11"/>
  <c r="C16" i="11"/>
  <c r="C7" i="11"/>
  <c r="B14" i="11"/>
  <c r="N11" i="12"/>
  <c r="N12" i="12"/>
  <c r="N15" i="12"/>
  <c r="N16" i="12"/>
  <c r="C34" i="11"/>
  <c r="N9" i="11"/>
  <c r="L34" i="11"/>
  <c r="K34" i="11"/>
  <c r="N5" i="11"/>
  <c r="B18" i="10"/>
  <c r="C18" i="10"/>
  <c r="D17" i="10"/>
  <c r="C17" i="10"/>
  <c r="C29" i="10" s="1"/>
  <c r="D18" i="10"/>
  <c r="B17" i="10"/>
  <c r="B29" i="10" s="1"/>
  <c r="D6" i="7"/>
  <c r="C11" i="4" s="1"/>
  <c r="C11" i="2"/>
  <c r="C9" i="4" s="1"/>
  <c r="D11" i="2"/>
  <c r="C8" i="1"/>
  <c r="N21" i="12" l="1"/>
  <c r="N29" i="11"/>
  <c r="C21" i="11"/>
  <c r="C13" i="11"/>
  <c r="D6" i="11"/>
  <c r="C20" i="11"/>
  <c r="E16" i="11"/>
  <c r="F8" i="11"/>
  <c r="C15" i="11"/>
  <c r="D7" i="11"/>
  <c r="C14" i="11"/>
  <c r="N33" i="11"/>
  <c r="B10" i="11"/>
  <c r="N34" i="11"/>
  <c r="D26" i="10"/>
  <c r="D31" i="10" s="1"/>
  <c r="D29" i="10"/>
  <c r="D24" i="10"/>
  <c r="D25" i="10" s="1"/>
  <c r="D30" i="10" s="1"/>
  <c r="C24" i="10"/>
  <c r="C25" i="10" s="1"/>
  <c r="C30" i="10" s="1"/>
  <c r="C26" i="10"/>
  <c r="C31" i="10" s="1"/>
  <c r="B24" i="10"/>
  <c r="B25" i="10" s="1"/>
  <c r="B30" i="10" s="1"/>
  <c r="B26" i="10"/>
  <c r="B31" i="10" s="1"/>
  <c r="D9" i="4"/>
  <c r="D11" i="4"/>
  <c r="C12" i="4"/>
  <c r="E6" i="11" l="1"/>
  <c r="D13" i="11"/>
  <c r="D21" i="11"/>
  <c r="D20" i="11"/>
  <c r="D15" i="11"/>
  <c r="D14" i="11"/>
  <c r="E7" i="11"/>
  <c r="G8" i="11"/>
  <c r="F16" i="11"/>
  <c r="B23" i="11"/>
  <c r="C10" i="11"/>
  <c r="B17" i="11"/>
  <c r="D12" i="4"/>
  <c r="G16" i="11" l="1"/>
  <c r="H8" i="11"/>
  <c r="E14" i="11"/>
  <c r="E15" i="11"/>
  <c r="F7" i="11"/>
  <c r="E21" i="11"/>
  <c r="F6" i="11"/>
  <c r="E20" i="11"/>
  <c r="E13" i="11"/>
  <c r="C23" i="11"/>
  <c r="C17" i="11"/>
  <c r="D10" i="11"/>
  <c r="B25" i="11"/>
  <c r="C25" i="11" l="1"/>
  <c r="C26" i="11" s="1"/>
  <c r="G6" i="11"/>
  <c r="F21" i="11"/>
  <c r="F20" i="11"/>
  <c r="F13" i="11"/>
  <c r="I8" i="11"/>
  <c r="H16" i="11"/>
  <c r="G7" i="11"/>
  <c r="F15" i="11"/>
  <c r="F14" i="11"/>
  <c r="C36" i="11"/>
  <c r="D17" i="11"/>
  <c r="E10" i="11"/>
  <c r="B26" i="11"/>
  <c r="D23" i="11"/>
  <c r="C37" i="11" l="1"/>
  <c r="C5" i="12"/>
  <c r="C39" i="11"/>
  <c r="C40" i="11" s="1"/>
  <c r="B7" i="12" s="1"/>
  <c r="G15" i="11"/>
  <c r="G14" i="11"/>
  <c r="H7" i="11"/>
  <c r="J8" i="11"/>
  <c r="I16" i="11"/>
  <c r="G13" i="11"/>
  <c r="G21" i="11"/>
  <c r="H6" i="11"/>
  <c r="G20" i="11"/>
  <c r="F10" i="11"/>
  <c r="B39" i="11"/>
  <c r="B40" i="11" s="1"/>
  <c r="B37" i="11"/>
  <c r="E17" i="11"/>
  <c r="E23" i="11"/>
  <c r="D25" i="11"/>
  <c r="C41" i="11" l="1"/>
  <c r="B8" i="12"/>
  <c r="I6" i="11"/>
  <c r="H21" i="11"/>
  <c r="H20" i="11"/>
  <c r="H13" i="11"/>
  <c r="K8" i="11"/>
  <c r="J16" i="11"/>
  <c r="I7" i="11"/>
  <c r="H15" i="11"/>
  <c r="H14" i="11"/>
  <c r="D36" i="11"/>
  <c r="D5" i="12" s="1"/>
  <c r="D26" i="11"/>
  <c r="G10" i="11"/>
  <c r="F23" i="11"/>
  <c r="E25" i="11"/>
  <c r="F17" i="11"/>
  <c r="B19" i="12" l="1"/>
  <c r="J7" i="11"/>
  <c r="I15" i="11"/>
  <c r="I14" i="11"/>
  <c r="L8" i="11"/>
  <c r="K16" i="11"/>
  <c r="J6" i="11"/>
  <c r="I21" i="11"/>
  <c r="I20" i="11"/>
  <c r="I13" i="11"/>
  <c r="G17" i="11"/>
  <c r="D39" i="11"/>
  <c r="D40" i="11" s="1"/>
  <c r="C7" i="12" s="1"/>
  <c r="D37" i="11"/>
  <c r="F25" i="11"/>
  <c r="G23" i="11"/>
  <c r="B41" i="11"/>
  <c r="E36" i="11"/>
  <c r="E5" i="12" s="1"/>
  <c r="E26" i="11"/>
  <c r="H10" i="11"/>
  <c r="C8" i="12" l="1"/>
  <c r="B20" i="12"/>
  <c r="K6" i="11"/>
  <c r="J21" i="11"/>
  <c r="J20" i="11"/>
  <c r="J13" i="11"/>
  <c r="M8" i="11"/>
  <c r="M16" i="11" s="1"/>
  <c r="L16" i="11"/>
  <c r="K7" i="11"/>
  <c r="J15" i="11"/>
  <c r="J14" i="11"/>
  <c r="H17" i="11"/>
  <c r="F36" i="11"/>
  <c r="F5" i="12" s="1"/>
  <c r="F26" i="11"/>
  <c r="I17" i="11"/>
  <c r="I10" i="11"/>
  <c r="H23" i="11"/>
  <c r="E37" i="11"/>
  <c r="E39" i="11"/>
  <c r="E40" i="11" s="1"/>
  <c r="D7" i="12" s="1"/>
  <c r="D8" i="12" s="1"/>
  <c r="D19" i="12" s="1"/>
  <c r="G25" i="11"/>
  <c r="C19" i="12" l="1"/>
  <c r="L7" i="11"/>
  <c r="K15" i="11"/>
  <c r="K14" i="11"/>
  <c r="L6" i="11"/>
  <c r="K21" i="11"/>
  <c r="K20" i="11"/>
  <c r="K13" i="11"/>
  <c r="N16" i="11"/>
  <c r="N8" i="11"/>
  <c r="D41" i="11"/>
  <c r="F37" i="11"/>
  <c r="F39" i="11"/>
  <c r="F40" i="11" s="1"/>
  <c r="E7" i="12" s="1"/>
  <c r="E8" i="12" s="1"/>
  <c r="E19" i="12" s="1"/>
  <c r="J10" i="11"/>
  <c r="H25" i="11"/>
  <c r="E41" i="11"/>
  <c r="G36" i="11"/>
  <c r="G5" i="12" s="1"/>
  <c r="G26" i="11"/>
  <c r="I23" i="11"/>
  <c r="I25" i="11" s="1"/>
  <c r="C20" i="12" l="1"/>
  <c r="M6" i="11"/>
  <c r="L21" i="11"/>
  <c r="L20" i="11"/>
  <c r="L13" i="11"/>
  <c r="M7" i="11"/>
  <c r="L15" i="11"/>
  <c r="L14" i="11"/>
  <c r="J23" i="11"/>
  <c r="I26" i="11"/>
  <c r="I36" i="11"/>
  <c r="I5" i="12" s="1"/>
  <c r="H26" i="11"/>
  <c r="H36" i="11"/>
  <c r="H5" i="12" s="1"/>
  <c r="F41" i="11"/>
  <c r="K17" i="11"/>
  <c r="K10" i="11"/>
  <c r="G37" i="11"/>
  <c r="G39" i="11"/>
  <c r="G40" i="11" s="1"/>
  <c r="F7" i="12" s="1"/>
  <c r="F8" i="12" s="1"/>
  <c r="F19" i="12" s="1"/>
  <c r="J17" i="11"/>
  <c r="D20" i="12" l="1"/>
  <c r="E20" i="12" s="1"/>
  <c r="F20" i="12" s="1"/>
  <c r="M15" i="11"/>
  <c r="M14" i="11"/>
  <c r="M21" i="11"/>
  <c r="M20" i="11"/>
  <c r="M13" i="11"/>
  <c r="K23" i="11"/>
  <c r="K25" i="11" s="1"/>
  <c r="L17" i="11"/>
  <c r="L10" i="11"/>
  <c r="J25" i="11"/>
  <c r="H37" i="11"/>
  <c r="H39" i="11"/>
  <c r="H40" i="11" s="1"/>
  <c r="G7" i="12" s="1"/>
  <c r="G8" i="12" s="1"/>
  <c r="G19" i="12" s="1"/>
  <c r="G41" i="11"/>
  <c r="I39" i="11"/>
  <c r="I40" i="11" s="1"/>
  <c r="H7" i="12" s="1"/>
  <c r="H8" i="12" s="1"/>
  <c r="I37" i="11"/>
  <c r="H19" i="12" l="1"/>
  <c r="G20" i="12"/>
  <c r="L23" i="11"/>
  <c r="K26" i="11"/>
  <c r="K36" i="11"/>
  <c r="K5" i="12" s="1"/>
  <c r="M10" i="11"/>
  <c r="N21" i="11"/>
  <c r="N6" i="11"/>
  <c r="J26" i="11"/>
  <c r="J36" i="11"/>
  <c r="J5" i="12" s="1"/>
  <c r="H41" i="11"/>
  <c r="L25" i="11"/>
  <c r="I41" i="11"/>
  <c r="N14" i="11"/>
  <c r="N15" i="11"/>
  <c r="N7" i="11"/>
  <c r="H20" i="12" l="1"/>
  <c r="M17" i="11"/>
  <c r="N13" i="11"/>
  <c r="N10" i="11"/>
  <c r="L26" i="11"/>
  <c r="L36" i="11"/>
  <c r="L5" i="12" s="1"/>
  <c r="K39" i="11"/>
  <c r="K40" i="11" s="1"/>
  <c r="J7" i="12" s="1"/>
  <c r="J8" i="12" s="1"/>
  <c r="J19" i="12" s="1"/>
  <c r="K37" i="11"/>
  <c r="J39" i="11"/>
  <c r="J40" i="11" s="1"/>
  <c r="I7" i="12" s="1"/>
  <c r="I8" i="12" s="1"/>
  <c r="I19" i="12" s="1"/>
  <c r="J37" i="11"/>
  <c r="M23" i="11"/>
  <c r="N23" i="11" s="1"/>
  <c r="N20" i="11"/>
  <c r="I20" i="12" l="1"/>
  <c r="J41" i="11"/>
  <c r="L37" i="11"/>
  <c r="L39" i="11"/>
  <c r="L40" i="11" s="1"/>
  <c r="K7" i="12" s="1"/>
  <c r="K8" i="12" s="1"/>
  <c r="K19" i="12" s="1"/>
  <c r="K41" i="11"/>
  <c r="M25" i="11"/>
  <c r="N17" i="11"/>
  <c r="J20" i="12" l="1"/>
  <c r="K20" i="12" s="1"/>
  <c r="M36" i="11"/>
  <c r="M5" i="12" s="1"/>
  <c r="M26" i="11"/>
  <c r="N25" i="11"/>
  <c r="N26" i="11" s="1"/>
  <c r="L41" i="11"/>
  <c r="N5" i="12" l="1"/>
  <c r="M37" i="11"/>
  <c r="M39" i="11"/>
  <c r="M40" i="11" s="1"/>
  <c r="L7" i="12" s="1"/>
  <c r="L8" i="12" s="1"/>
  <c r="L19" i="12" s="1"/>
  <c r="L20" i="12" s="1"/>
  <c r="N36" i="11"/>
  <c r="N37" i="11" s="1"/>
  <c r="N40" i="11" l="1"/>
  <c r="M7" i="12" s="1"/>
  <c r="N39" i="11"/>
  <c r="N7" i="12" l="1"/>
  <c r="M8" i="12"/>
  <c r="M41" i="11"/>
  <c r="N41" i="11" s="1"/>
  <c r="M19" i="12" l="1"/>
  <c r="N8" i="12"/>
  <c r="N19" i="12" l="1"/>
  <c r="M20" i="12"/>
  <c r="N20" i="12" s="1"/>
</calcChain>
</file>

<file path=xl/sharedStrings.xml><?xml version="1.0" encoding="utf-8"?>
<sst xmlns="http://schemas.openxmlformats.org/spreadsheetml/2006/main" count="561" uniqueCount="493">
  <si>
    <t>Componente</t>
  </si>
  <si>
    <t>Costo (COP)</t>
  </si>
  <si>
    <t>Fuente</t>
  </si>
  <si>
    <t>Supuesto</t>
  </si>
  <si>
    <t>Desarrollo MVP</t>
  </si>
  <si>
    <t>Full-stack (React + Android + Spring Boot)</t>
  </si>
  <si>
    <t>Payscale Colombia</t>
  </si>
  <si>
    <t>Identidad visual y prototipado</t>
  </si>
  <si>
    <t>Marketing Lanzamiento</t>
  </si>
  <si>
    <t>TOTAL CAPEX</t>
  </si>
  <si>
    <t>Servicio AWS</t>
  </si>
  <si>
    <t>Costo Mensual (COP)</t>
  </si>
  <si>
    <t>Costo Anual (COP)</t>
  </si>
  <si>
    <t>API Gateway</t>
  </si>
  <si>
    <t>Application Load Balancer</t>
  </si>
  <si>
    <t>S3 Buckets</t>
  </si>
  <si>
    <t>CloudFront</t>
  </si>
  <si>
    <t>SNS/SQS</t>
  </si>
  <si>
    <t>CloudWatch</t>
  </si>
  <si>
    <t>Lambda</t>
  </si>
  <si>
    <t>TOTAL CLOUD</t>
  </si>
  <si>
    <t>Modelo / Servicio</t>
  </si>
  <si>
    <t>Tipo de Cobro</t>
  </si>
  <si>
    <t>Escenario de Uso</t>
  </si>
  <si>
    <t>Inferencia Local</t>
  </si>
  <si>
    <t>24/7 Disponible</t>
  </si>
  <si>
    <t>Licencia abierta; costo absorbido en EC2 AI</t>
  </si>
  <si>
    <t>Fine-tuning Interno</t>
  </si>
  <si>
    <t>Equipo MLOps</t>
  </si>
  <si>
    <t>Ejecutado por personal interno</t>
  </si>
  <si>
    <t>TOTAL IA</t>
  </si>
  <si>
    <t>Subcomponente</t>
  </si>
  <si>
    <t>Talento</t>
  </si>
  <si>
    <t>Arquitecto AWS + DevOps Senior</t>
  </si>
  <si>
    <t>MLOps / DevOps</t>
  </si>
  <si>
    <t>Mantenimiento ASG y GPUs</t>
  </si>
  <si>
    <t>Fullstack Senior (Backend)</t>
  </si>
  <si>
    <t>Spring Boot + Integraciones</t>
  </si>
  <si>
    <t>Fullstack + IA (Python)</t>
  </si>
  <si>
    <t>ML + Backend</t>
  </si>
  <si>
    <t>Especialista de Viajes</t>
  </si>
  <si>
    <t>Alianzas GDS y soporte operacional</t>
  </si>
  <si>
    <t>Home Office (Auxilios)</t>
  </si>
  <si>
    <t>Infraestructura Cloud AWS</t>
  </si>
  <si>
    <t>Detalle en hoja Cloud</t>
  </si>
  <si>
    <t>Marketing Digital</t>
  </si>
  <si>
    <t>APIs Externas</t>
  </si>
  <si>
    <t>Amadeus + Google Maps + Twilio</t>
  </si>
  <si>
    <t>TOTAL OPEX</t>
  </si>
  <si>
    <t>Concepto</t>
  </si>
  <si>
    <t>TRM</t>
  </si>
  <si>
    <t>Disponibilidad (SLA)</t>
  </si>
  <si>
    <t>99.99% Multi-AZ</t>
  </si>
  <si>
    <t>AWS Well-Architected</t>
  </si>
  <si>
    <t>2 segundos</t>
  </si>
  <si>
    <t>Cumplimiento Legal</t>
  </si>
  <si>
    <t>Normativa Colombia</t>
  </si>
  <si>
    <t>Escalabilidad</t>
  </si>
  <si>
    <t>Mercado</t>
  </si>
  <si>
    <t>1 USD = 4.200 COP</t>
  </si>
  <si>
    <t>Alta en Colombia</t>
  </si>
  <si>
    <t>Tendencia e-commerce</t>
  </si>
  <si>
    <t>Crecimiento E-commerce</t>
  </si>
  <si>
    <t>15-20% anual</t>
  </si>
  <si>
    <t>Benchmarks sectoriales</t>
  </si>
  <si>
    <t>Operacional</t>
  </si>
  <si>
    <t>Modelo de Trabajo</t>
  </si>
  <si>
    <t>100% Remoto (Home Office)</t>
  </si>
  <si>
    <t>Ahorro 30% vs oficina</t>
  </si>
  <si>
    <t>Infraestructura IA</t>
  </si>
  <si>
    <t>vLLM para servir modelos</t>
  </si>
  <si>
    <t>Arquitectura</t>
  </si>
  <si>
    <t>Multi-AZ para redundancia</t>
  </si>
  <si>
    <t>Desarrollo</t>
  </si>
  <si>
    <t>6 meses con 3 personas</t>
  </si>
  <si>
    <t>Horizonte inicial</t>
  </si>
  <si>
    <t>Volumen Mensual Estimado</t>
  </si>
  <si>
    <t>Pasarela Wompi</t>
  </si>
  <si>
    <t>Google Maps API</t>
  </si>
  <si>
    <t>Por Request</t>
  </si>
  <si>
    <t>Autocompletado y rutas</t>
  </si>
  <si>
    <t>Amadeus API</t>
  </si>
  <si>
    <t>Consultas de vuelos y hoteles</t>
  </si>
  <si>
    <t>Twilio SMS/WhatsApp</t>
  </si>
  <si>
    <t>Por Mensaje</t>
  </si>
  <si>
    <t>TOTAL TRANSACCIONAL</t>
  </si>
  <si>
    <t>Valor</t>
  </si>
  <si>
    <t>Unidad</t>
  </si>
  <si>
    <t>COP</t>
  </si>
  <si>
    <t>reservas</t>
  </si>
  <si>
    <t>%</t>
  </si>
  <si>
    <t>Descripción</t>
  </si>
  <si>
    <t>Legal y Constitución</t>
  </si>
  <si>
    <t>Cámara de Comercio Bogotá</t>
  </si>
  <si>
    <t>Técnico</t>
  </si>
  <si>
    <t>Ley 1581 (Protección datos)</t>
  </si>
  <si>
    <t>Proyección 2025-2026</t>
  </si>
  <si>
    <t>Adopción Pagos Digitales</t>
  </si>
  <si>
    <t>Optimización de latencia</t>
  </si>
  <si>
    <t>Estimación Payscale</t>
  </si>
  <si>
    <t>Periodo Capitalización</t>
  </si>
  <si>
    <t>Latencia Máxima</t>
  </si>
  <si>
    <t>Estándar industria travel</t>
  </si>
  <si>
    <t>Miles de usuarios simultáneos</t>
  </si>
  <si>
    <t>Análisis 12 meses</t>
  </si>
  <si>
    <t>Categoría</t>
  </si>
  <si>
    <t>Garantía transacciones críticas</t>
  </si>
  <si>
    <t>Diseño ASG + Load Balancers</t>
  </si>
  <si>
    <t>Optimización de Modelos</t>
  </si>
  <si>
    <t>vLLM</t>
  </si>
  <si>
    <t>Gestión REST API</t>
  </si>
  <si>
    <t>Diseño UI/UX</t>
  </si>
  <si>
    <t>CTO / Líder Técnico</t>
  </si>
  <si>
    <t>Métrica</t>
  </si>
  <si>
    <t>Operación</t>
  </si>
  <si>
    <t>Campañas de adquisición y retención</t>
  </si>
  <si>
    <t>Comisión + Tarifa</t>
  </si>
  <si>
    <t>Por cada transacción procesada</t>
  </si>
  <si>
    <t>Notificaciones de confirmación</t>
  </si>
  <si>
    <t>Ministerio de Comercio, Industria y Turismo</t>
  </si>
  <si>
    <t>RNT</t>
  </si>
  <si>
    <t>Registro mercantil</t>
  </si>
  <si>
    <t>Marcas</t>
  </si>
  <si>
    <t>Superintendencia de Industria y Comercio</t>
  </si>
  <si>
    <t>Estrategia de adquisición inicial</t>
  </si>
  <si>
    <t>Marketing CPE</t>
  </si>
  <si>
    <t>6 meses de desarrollo con un equipo de 3 personas, incluyendo mantenimiento hasta completar el costo anual.</t>
  </si>
  <si>
    <t>Derechos de matrícula de establecimientos, sucursales o agencias según normativa vigente.</t>
  </si>
  <si>
    <t>El RNT es completamente gratuito.</t>
  </si>
  <si>
    <t>Solicitud de registro de marca o lema comercial por una clase, incluyendo modificaciones no sustanciales.</t>
  </si>
  <si>
    <t>6 meses de trabajo en diseño.</t>
  </si>
  <si>
    <t>Inversión en pauta durante los primeros 6 meses posteriores al lanzamiento.</t>
  </si>
  <si>
    <t>USD</t>
  </si>
  <si>
    <t>AWS Pricing Calculator</t>
  </si>
  <si>
    <t>EC2</t>
  </si>
  <si>
    <t>RDS</t>
  </si>
  <si>
    <t>1 millón de peticiones mensuales</t>
  </si>
  <si>
    <t>Instancia base + 0.8 LCU bajo modelo de pago por uso</t>
  </si>
  <si>
    <t>Balanceo de carga en múltiples zonas (Multi-AZ)</t>
  </si>
  <si>
    <t>Auto Scaling Group para servicios Spring Boot, gestión de reservas, APIs, FastAPI, procesamiento con GPU NVIDIA T4 y predicción de CO2e (RAG)</t>
  </si>
  <si>
    <t>Reserva a 1 año con mínimo 4 instancias</t>
  </si>
  <si>
    <t>Base de datos primaria en configuración Multi-AZ. Instancias adicionales PostgreSQL Multi-AZ. Base de datos para machine learning y vectores (embeddings)</t>
  </si>
  <si>
    <t>Alta disponibilidad para cargas críticas y almacenamiento de embeddings y metadatos</t>
  </si>
  <si>
    <t>Almacenamiento de media, logs, pesos de modelos y contenido estático de la aplicación</t>
  </si>
  <si>
    <t>200 GB de almacenamiento total + transferencia de datos</t>
  </si>
  <si>
    <t>Red de distribución de contenido (CDN)</t>
  </si>
  <si>
    <t>Aproximadamente 500 GB de salida de datos mensual</t>
  </si>
  <si>
    <t>Capa asincrónica para eventos y colas de mensajes</t>
  </si>
  <si>
    <t>Hasta 1 millón de mensajes mensuales</t>
  </si>
  <si>
    <t>Monitoreo, logs, métricas y alertas</t>
  </si>
  <si>
    <t>Incluye retención de logs y dashboards</t>
  </si>
  <si>
    <t>Procesamiento de tickets y archivos PDF</t>
  </si>
  <si>
    <t>2 millones de ejecuciones mensuales</t>
  </si>
  <si>
    <t>Luz</t>
  </si>
  <si>
    <t>Internet</t>
  </si>
  <si>
    <t>Movistar</t>
  </si>
  <si>
    <t>Enel</t>
  </si>
  <si>
    <t>1,000,000 queries</t>
  </si>
  <si>
    <t>Maps Platform</t>
  </si>
  <si>
    <t>Transaccional</t>
  </si>
  <si>
    <t>100,000 búsquedas</t>
  </si>
  <si>
    <t>Amadeus for Developers</t>
  </si>
  <si>
    <t>100,000 mensajes</t>
  </si>
  <si>
    <t>Twilio</t>
  </si>
  <si>
    <t>500 transacciones</t>
  </si>
  <si>
    <t>Promedio Transacción</t>
  </si>
  <si>
    <t>Wompi</t>
  </si>
  <si>
    <t xml:space="preserve">Variable </t>
  </si>
  <si>
    <t>Supuesto / Fuente</t>
  </si>
  <si>
    <t>Inputs - Variables Editables del Modelo Financiero</t>
  </si>
  <si>
    <t>Parámetros de Usuarios</t>
  </si>
  <si>
    <t>Base usuarios free mes 1</t>
  </si>
  <si>
    <t>Nuevos usuarios adquiridos mes 1</t>
  </si>
  <si>
    <t>Crecimiento nuevos usuarios (/mes)</t>
  </si>
  <si>
    <t>Churn free (%/mes)</t>
  </si>
  <si>
    <t>Churn premium (%/mes)</t>
  </si>
  <si>
    <t>Churn B2B (%/mes)</t>
  </si>
  <si>
    <t>Reservas/usuario free/mes</t>
  </si>
  <si>
    <t>Reservas/usuario premium/mes</t>
  </si>
  <si>
    <t>Conversión inicial free a premium</t>
  </si>
  <si>
    <t>Conversión ongoing (free a prem/mes)</t>
  </si>
  <si>
    <t>usuarios</t>
  </si>
  <si>
    <t>Usuarios free en lanzamiento (beta cerrada)</t>
  </si>
  <si>
    <t>Meta acquisición mes 1 (SEO + pauta inicial)</t>
  </si>
  <si>
    <t>%/mes</t>
  </si>
  <si>
    <t>Benchmark SaaS early-stage: 10-25%/mes</t>
  </si>
  <si>
    <t>De nuevos usuarios: % inician como premium directamente</t>
  </si>
  <si>
    <t>Usuarios free existentes que convierten cada mes</t>
  </si>
  <si>
    <t>Alto: usuarios sin compromiso; referencia apps similares</t>
  </si>
  <si>
    <t>Estimado: 1 reserva cada 2 meses por usuario free</t>
  </si>
  <si>
    <t>Premium: mayor uso e intención de compra</t>
  </si>
  <si>
    <t>Aproximadamente 12.5 meses promedio suscripción (benchmark SaaS B2C)</t>
  </si>
  <si>
    <t>Aproximadamente 33 meses LTV; contratos anuales reducen churn real</t>
  </si>
  <si>
    <t>Parámetros de Inteligencia Artificial</t>
  </si>
  <si>
    <t>Requests IA / user free / mes</t>
  </si>
  <si>
    <t>Requests IA / user premium / mes</t>
  </si>
  <si>
    <t>Costo marginal por request (COP)</t>
  </si>
  <si>
    <t>Capacidad GPU 1 bloque (req/mes)</t>
  </si>
  <si>
    <t>Costo GPU adicional (COP/bloque)</t>
  </si>
  <si>
    <t>req/user</t>
  </si>
  <si>
    <t>Búsquedas IA, sugerencias destino, chatbot básico</t>
  </si>
  <si>
    <t>Planificación avanzada, RAG, itinerarios, CO2 predicción</t>
  </si>
  <si>
    <t>COP/req</t>
  </si>
  <si>
    <t>vLLM self-hosted en EC2; estimado vs throughput GPU T4</t>
  </si>
  <si>
    <t>requests</t>
  </si>
  <si>
    <t>COP/mes</t>
  </si>
  <si>
    <t>1× g4dn.xlarge 1-yr reserved aproximadamente $300/mes = COP 1.26M</t>
  </si>
  <si>
    <t>1× g4dn.xlarge T4 a promedio 50K req/día</t>
  </si>
  <si>
    <t>Pricing y Monetización</t>
  </si>
  <si>
    <t>Precio suscripción premium</t>
  </si>
  <si>
    <t>Ticket promedio por transacción</t>
  </si>
  <si>
    <t>Tasa de comisión</t>
  </si>
  <si>
    <t>Costo Wompi / transacción (COP)</t>
  </si>
  <si>
    <t>Revenue B2B / cliente / mes</t>
  </si>
  <si>
    <t>Mes inicio clientes B2B</t>
  </si>
  <si>
    <t>Clientes B2B al inicio</t>
  </si>
  <si>
    <t>Nuevos clientes B2B / mes</t>
  </si>
  <si>
    <t>Viaje nacional promedio (aéreo + hotel 2 noches)</t>
  </si>
  <si>
    <t>10% sobre valor de reserva; estándar OTA mercado Colombia</t>
  </si>
  <si>
    <t>COP/trans</t>
  </si>
  <si>
    <t>Publicidad posicionada + herramientas analítica para operadores</t>
  </si>
  <si>
    <t>mes</t>
  </si>
  <si>
    <t>Primeros clientes B2B desde mes 3 (post-tracción inicial)</t>
  </si>
  <si>
    <t>clientes</t>
  </si>
  <si>
    <t>2 clientes piloto en mes de lanzamiento B2B</t>
  </si>
  <si>
    <t>Crecimiento conservador: 1 cliente nuevo/mes (ventas outbound)</t>
  </si>
  <si>
    <t>Aproximadamente $7.1 USD/mes; comparable con Duolingo Plus / Spotify Colombia</t>
  </si>
  <si>
    <t>2.65% * $500K + $700; neto costo procesamiento</t>
  </si>
  <si>
    <t>Costos de Adquisición (CAC)</t>
  </si>
  <si>
    <t>CAC usuario free (COP)</t>
  </si>
  <si>
    <t>CAC usuario premium (COP)</t>
  </si>
  <si>
    <t>CAC cliente B2B (COP)</t>
  </si>
  <si>
    <t>CAC total (free + conversión); incluye incentivo upgrade</t>
  </si>
  <si>
    <t>Costo ventas outbound + demos + onboarding B2B</t>
  </si>
  <si>
    <t>Aproximadamente $3.6 USD; pauta digital (Meta/Google) Colombia 2025</t>
  </si>
  <si>
    <t>OPEX Mensual (Estructura de Costos)</t>
  </si>
  <si>
    <t>OPEX Talento / mes</t>
  </si>
  <si>
    <t>OPEX Marketing base / mes</t>
  </si>
  <si>
    <t>OPEX APIs fijas base / mes</t>
  </si>
  <si>
    <t>OPEX APIs variable / usuario</t>
  </si>
  <si>
    <t>5 profesionales; fuente: Payscale Colombia 2025</t>
  </si>
  <si>
    <t>RDS corregido a $500 USD/mes; EC2 GPU a $300 USD/mes</t>
  </si>
  <si>
    <t>Campañas retención; excluye CAC (se calcula aparte)</t>
  </si>
  <si>
    <t>Mínimo consumo: Google Maps + Amadeus + Twilio fijo</t>
  </si>
  <si>
    <t>COP/user</t>
  </si>
  <si>
    <t>Amadeus+Maps incremental por usuario activo</t>
  </si>
  <si>
    <t>OPEX Cloud AWS / mes</t>
  </si>
  <si>
    <t>CAPEX y Amortización</t>
  </si>
  <si>
    <t>CAPEX total</t>
  </si>
  <si>
    <t>Período amortización</t>
  </si>
  <si>
    <t>MVP + Legal + UX/UI + Marketing lanzamiento</t>
  </si>
  <si>
    <t>meses</t>
  </si>
  <si>
    <t>3 años; estándar intangibles tecnológicos Colombia</t>
  </si>
  <si>
    <t>Parámetros Generales</t>
  </si>
  <si>
    <t>TRM (COP / USD)</t>
  </si>
  <si>
    <t>Tasa de impuesto de renta</t>
  </si>
  <si>
    <t>COP/USD</t>
  </si>
  <si>
    <t>Proyección 2025-2026; fuente: Banco de la República</t>
  </si>
  <si>
    <t>Colombia: tarifa general 33% (Art. 240 E.T.)</t>
  </si>
  <si>
    <t>Unit Economics - Por Segmento de Usuario</t>
  </si>
  <si>
    <t>Free (B2C)</t>
  </si>
  <si>
    <t>Premium (B2C)</t>
  </si>
  <si>
    <t>B2B Operador</t>
  </si>
  <si>
    <t>Notas</t>
  </si>
  <si>
    <t>Comisiones por reservas (COP/mes)</t>
  </si>
  <si>
    <t>Suscripción premium (COP/mes)</t>
  </si>
  <si>
    <t>Solo aplica para segmento premium</t>
  </si>
  <si>
    <t>Publicidad / SaaS B2B (COP/mes)</t>
  </si>
  <si>
    <t>Posicionamiento + herramientas analítica por operador</t>
  </si>
  <si>
    <t>INGRESO TOTAL / UNIDAD</t>
  </si>
  <si>
    <t>Ingreso bruto mensual por usuario / cliente</t>
  </si>
  <si>
    <t>Free: 0.5 res * $500K * 10%  |  Premium: 2 res * $500K * 10%  |  B2B: n/a</t>
  </si>
  <si>
    <t>Costo Wompi / trans. (COP/mes)</t>
  </si>
  <si>
    <t>Wompi: COP 13,950 por transacción; B2B: pago directo entre partes</t>
  </si>
  <si>
    <t>Costo IA marginal (COP/mes)</t>
  </si>
  <si>
    <t>vLLM on EC2; costo marginal por request en GPU T4</t>
  </si>
  <si>
    <t>APIs variable (COP/mes)</t>
  </si>
  <si>
    <t>Google Maps + Amadeus incremental por usuario activo</t>
  </si>
  <si>
    <t>COGS TOTAL / UNIDAD</t>
  </si>
  <si>
    <t>Suma de costos variables directos por unidad</t>
  </si>
  <si>
    <t>Contribución marginal bruta</t>
  </si>
  <si>
    <t>Ingreso - COGS variable; positivo = cada unidad genera caja</t>
  </si>
  <si>
    <t>Margen de contribución (%)</t>
  </si>
  <si>
    <t>Objetivo mínimo: 60% para cubrir costos fijos</t>
  </si>
  <si>
    <t>CAC (COP)</t>
  </si>
  <si>
    <t>Costo de adquisición del cliente; Free: orgánico+digital, Prem: upgrade, B2B: ventas</t>
  </si>
  <si>
    <t>Churn mensual (%)</t>
  </si>
  <si>
    <t>Tasa de cancelación mensual por segmento</t>
  </si>
  <si>
    <t>Vida promedio (meses)</t>
  </si>
  <si>
    <t>LTV (COP)</t>
  </si>
  <si>
    <t>LTV / CAC</t>
  </si>
  <si>
    <t>Ratio mínimo saludable: 3x. &gt;10x = excelente eficiencia de capital</t>
  </si>
  <si>
    <t>Payback CAC (meses)</t>
  </si>
  <si>
    <t>Meses para recuperar CAC con contribución mensual; objetivo &lt;12 meses</t>
  </si>
  <si>
    <t>¿Margen positivo por unidad?</t>
  </si>
  <si>
    <t>¿LTV/CAC ≥ 3x?</t>
  </si>
  <si>
    <t>¿Payback &lt; 12 meses?</t>
  </si>
  <si>
    <t>Costos Variables Por Unidad (Mensual)</t>
  </si>
  <si>
    <t>Ingresos por Unidad (Mensual / Usuario)</t>
  </si>
  <si>
    <t>Análisis de Viabilidad</t>
  </si>
  <si>
    <t>Rentabilidad por Unidad</t>
  </si>
  <si>
    <t>Métricas de Adquisición y Retención</t>
  </si>
  <si>
    <t>Lifetime Value = Contribución * Vida promedio (meses)</t>
  </si>
  <si>
    <t>Concepto (COP)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</si>
  <si>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</si>
  <si>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</si>
  <si>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</si>
  <si>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</si>
  <si>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</si>
  <si>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</si>
  <si>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</si>
  <si>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</si>
  <si>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</si>
  <si>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</si>
  <si>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</si>
  <si>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</si>
  <si>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Año 1 Total</t>
  </si>
  <si>
    <t>Nuevos usuarios adquiridos</t>
  </si>
  <si>
    <t>Usuarios Free (neto fin de mes)</t>
  </si>
  <si>
    <t>Usuarios Premium (neto fin de mes)</t>
  </si>
  <si>
    <t>Clientes B2B (neto)</t>
  </si>
  <si>
    <t>Nuevos clientes B2B</t>
  </si>
  <si>
    <t>Total usuarios activos (Free+Premium)</t>
  </si>
  <si>
    <t>Comisiones reservas (Free)</t>
  </si>
  <si>
    <t>Comisiones reservas (Premium)</t>
  </si>
  <si>
    <t>Suscripciones Premium</t>
  </si>
  <si>
    <t>Revenue B2B (publicidad + SaaS)</t>
  </si>
  <si>
    <t>TOTAL INGRESOS</t>
  </si>
  <si>
    <t>Costo pasarela Wompi</t>
  </si>
  <si>
    <t>Costo IA marginal (vLLM GPU)</t>
  </si>
  <si>
    <t>APIs externas (variable por usuario)</t>
  </si>
  <si>
    <t>TOTAL COGS</t>
  </si>
  <si>
    <t>MARGEN BRUTO</t>
  </si>
  <si>
    <t xml:space="preserve">  % Margen Bruto</t>
  </si>
  <si>
    <t>Talento humano</t>
  </si>
  <si>
    <t>Infraestructura Cloud AWS (corregida)</t>
  </si>
  <si>
    <t>Marketing digital (base)</t>
  </si>
  <si>
    <t>APIs externas (costo mínimo fijo)</t>
  </si>
  <si>
    <t>CAC spend (adquisición)</t>
  </si>
  <si>
    <t>EBITDA (Utilidad Operativa Bruta)</t>
  </si>
  <si>
    <t xml:space="preserve">  % EBITDA sobre ingresos</t>
  </si>
  <si>
    <t>Amortización CAPEX</t>
  </si>
  <si>
    <t>EBIT (Utilidad Operativa Neta)</t>
  </si>
  <si>
    <t>Impuesto de renta (33%)</t>
  </si>
  <si>
    <t>UTILIDAD NETA</t>
  </si>
  <si>
    <t>Estado de Resultados (P&amp;G) Proyectado - 12 Meses</t>
  </si>
  <si>
    <t>Ingresos</t>
  </si>
  <si>
    <t>Usuarios</t>
  </si>
  <si>
    <t>Costo de Ventas (COGS - Variables)</t>
  </si>
  <si>
    <t>Gastos Operativos (OPEX Fijo)</t>
  </si>
  <si>
    <t>Rentabilidad</t>
  </si>
  <si>
    <t>EBITDA (de PyG)</t>
  </si>
  <si>
    <t>Cambio capital de trabajo (AR lag 5%)</t>
  </si>
  <si>
    <t>Impuestos pagados</t>
  </si>
  <si>
    <t>FLUJO CAJA OPERATIVO</t>
  </si>
  <si>
    <t>CAPEX inicial (desembolso mes 0/1)</t>
  </si>
  <si>
    <t>FLUJO CAJA INVERSIÓN</t>
  </si>
  <si>
    <t>Aporte de capital / financiamiento</t>
  </si>
  <si>
    <t>FLUJO CAJA FINANCIERO</t>
  </si>
  <si>
    <t>FLUJO NETO DEL PERÍODO</t>
  </si>
  <si>
    <t>SALDO CAJA ACUMULADO</t>
  </si>
  <si>
    <t>Saldo mínimo requerido (buffer operativo)</t>
  </si>
  <si>
    <t>Precio Prem \ Conv Rate</t>
  </si>
  <si>
    <t>Conv 5.0%</t>
  </si>
  <si>
    <t>Conv 7.5%</t>
  </si>
  <si>
    <t>Conv 10.0%</t>
  </si>
  <si>
    <t>Conv 15.0%</t>
  </si>
  <si>
    <t>Conv 20.0%</t>
  </si>
  <si>
    <t>Impacto en margen</t>
  </si>
  <si>
    <t>COP 15,000</t>
  </si>
  <si>
    <t>COP 22,000</t>
  </si>
  <si>
    <t>COP 29,900</t>
  </si>
  <si>
    <t>COP 39,000</t>
  </si>
  <si>
    <t>COP 49,000</t>
  </si>
  <si>
    <t>Crec. \ Churn Prem</t>
  </si>
  <si>
    <t>Churn 4%</t>
  </si>
  <si>
    <t>Churn 6%</t>
  </si>
  <si>
    <t>Churn 8%</t>
  </si>
  <si>
    <t>Churn 12%</t>
  </si>
  <si>
    <t>Churn 16%</t>
  </si>
  <si>
    <t>Nota</t>
  </si>
  <si>
    <t>Crecimiento 5%/mes</t>
  </si>
  <si>
    <t>Crecimiento 10%/mes</t>
  </si>
  <si>
    <t>Crecimiento 15%/mes</t>
  </si>
  <si>
    <t>Crecimiento 20%/mes</t>
  </si>
  <si>
    <t>Crecimiento 30%/mes</t>
  </si>
  <si>
    <t>Costo/req (COP)</t>
  </si>
  <si>
    <t>Costo IA mensual (500 prem)</t>
  </si>
  <si>
    <t>% del Revenue</t>
  </si>
  <si>
    <t>Impacto EBITDA anual</t>
  </si>
  <si>
    <t>$0.5 (muy bajo)</t>
  </si>
  <si>
    <t>COP 50,000</t>
  </si>
  <si>
    <t>COP -0.6M</t>
  </si>
  <si>
    <t>$1 (~Mistral small)</t>
  </si>
  <si>
    <t>COP 100,000</t>
  </si>
  <si>
    <t>COP -1.2M</t>
  </si>
  <si>
    <t>$2 (base, vLLM T4)</t>
  </si>
  <si>
    <t>COP 200,000</t>
  </si>
  <si>
    <t>COP -2.4M</t>
  </si>
  <si>
    <t>$5 (API externa económica)</t>
  </si>
  <si>
    <t>COP 500,000</t>
  </si>
  <si>
    <t>COP -6.0M</t>
  </si>
  <si>
    <t>$10 (GPT-3.5)</t>
  </si>
  <si>
    <t>COP 1,000,000</t>
  </si>
  <si>
    <t>COP -12.0M</t>
  </si>
  <si>
    <t>$20 (GPT-4o mini)</t>
  </si>
  <si>
    <t>COP 2,000,000</t>
  </si>
  <si>
    <t>COP -24.0M</t>
  </si>
  <si>
    <t>Modelo</t>
  </si>
  <si>
    <t>Margen por usuario</t>
  </si>
  <si>
    <t>Impacto caja</t>
  </si>
  <si>
    <t>Riesgo técnico</t>
  </si>
  <si>
    <t>Decisión producto</t>
  </si>
  <si>
    <t>Rate Limits (solo)</t>
  </si>
  <si>
    <t>Alto (costos controlados)</t>
  </si>
  <si>
    <t>Positivo corto plazo</t>
  </si>
  <si>
    <t>Bajo</t>
  </si>
  <si>
    <t>Peor UX; abandono premium</t>
  </si>
  <si>
    <t>Usage-Based (puro)</t>
  </si>
  <si>
    <t>Variable; protege margen</t>
  </si>
  <si>
    <t>Impredecible para usuario</t>
  </si>
  <si>
    <t>Medio (billing infra)</t>
  </si>
  <si>
    <t>Fricción en conversión</t>
  </si>
  <si>
    <t>Suscripción fija</t>
  </si>
  <si>
    <t>Predecible; riesgo heavy-users</t>
  </si>
  <si>
    <t>Estable y planificable</t>
  </si>
  <si>
    <t>Mejor UX; stickiness alta</t>
  </si>
  <si>
    <t>Alto + protección vs abuso</t>
  </si>
  <si>
    <t>Estable con techo</t>
  </si>
  <si>
    <t>Medio</t>
  </si>
  <si>
    <t>Fair use policy clara</t>
  </si>
  <si>
    <t>Flujo de Caja - 12 Meses</t>
  </si>
  <si>
    <t>Análisis de Sensibilidad - Variables Críticas</t>
  </si>
  <si>
    <t>INTERACCIÓN MÁS COSTOSA: Planificador de itinerarios con RAG (búsqueda vectorial + LLM). Consume ~10-15 requests compuestos por sesión (RAG retrieval + múltiples prompts). Optimización: cachear resultados de itinerarios populares (destinos top 10 Colombia), reducción estimada del 40% en requests RAG.</t>
  </si>
  <si>
    <t>RATE LIMITS PARA FREE TIER: Limitar a 20 requests IA/mes en free. Aumentar visibilidad del límite para incentivar upgrade (progress bar de uso en app). Beneficio: reduce abuso y crea urgencia de conversión sin eliminar valor del tier gratuito.</t>
  </si>
  <si>
    <t>Nivel</t>
  </si>
  <si>
    <t>Riesgo</t>
  </si>
  <si>
    <t>Descripción y Mitigación</t>
  </si>
  <si>
    <t>Concentración de costos en Amadeus API</t>
  </si>
  <si>
    <t>Amadeus puede cambiar precios o términos; 100K búsquedas/mes = COP 10.5M. Mitigation: caché + proveedor alternativo (Duffel, Kiwi.com)</t>
  </si>
  <si>
    <t>Churn free muy alto (25%/mes)</t>
  </si>
  <si>
    <t>Con 4 meses de vida promedio, el CAC free de COP 15K tiene payback ajustado. Validar si los usuarios free generan suficientes comisiones o son pure-cost</t>
  </si>
  <si>
    <t>Escalabilidad del modelo IA sin control de costos</t>
  </si>
  <si>
    <t>Con 10,000 usuarios premium a 200 req/mes = 2M req/mes: necesitar 2 bloques GPU. Costo escala, ingresos deben escalar más rápido</t>
  </si>
  <si>
    <t>Dependencia de Google Maps API</t>
  </si>
  <si>
    <t>1M queries/mes = COP 8.4M. Alternativa: OSM + Mapbox reduce costo 60-70%</t>
  </si>
  <si>
    <t>Regulatorio: registro de agencia de viajes</t>
  </si>
  <si>
    <t>MinCIT puede exigir RNT como intermediario. Estructura legal debe blindarse (marketplace, no agencia)</t>
  </si>
  <si>
    <t>Competencia de OTAs globales (Booking, Airbnb)</t>
  </si>
  <si>
    <t>El diferencial de IA local + red social crea moat defensible en mediano plazo. Priorizar nichos que OTAs ignoran: turismo rural, ecoturismo</t>
  </si>
  <si>
    <t>Pricing &amp; Modelo de Monetización IA</t>
  </si>
  <si>
    <t>Conclusión GO / NO GO</t>
  </si>
  <si>
    <t>MODELO HÍBRIDO IA: Suscripción premium con fair use policy de 500 req/mes. Usuarios que superen el límite reciben alerta de uso y opción de consumo adicional a COP 10/req (bundled). Protege contra heavy-users (top 5% consume 40% del cómputo) sin afectar UX del 95% restante.</t>
  </si>
  <si>
    <t>PRECIO PREMIUM RECOMENDADO: COP 29,900/mes (Aproximadamente $7.1 USD). Cubre COGS variable (COP 8,370/user: Wompi COP 27,900 + IA COP 400 + API COP 1,000) con margen bruto del 72%. Comparable con Duolingo Plus en Colombia (Aproximadamente COP 28K). Testar con A/B entre COP 24,900 y COP 34,900.</t>
  </si>
  <si>
    <t>Resumen de Caja</t>
  </si>
  <si>
    <t>Actividades de Financiamiento</t>
  </si>
  <si>
    <t>Actividades de Inversión (CAPEX)</t>
  </si>
  <si>
    <t>Actividades Operativas</t>
  </si>
  <si>
    <t>Ingresos Año 1 (COP M) - Precio Premium * Tasa de Conversión</t>
  </si>
  <si>
    <t>Precio insostenible; no cubre COGS premium</t>
  </si>
  <si>
    <t>Margen ajustado; viable solo con churn &lt;6%</t>
  </si>
  <si>
    <t>Alta rentabilidad; riesgo de menor conversión</t>
  </si>
  <si>
    <t>Precio premium; requiere validación WTP Colombia</t>
  </si>
  <si>
    <t>Precio base recomendado; margen aproximadamente 71%</t>
  </si>
  <si>
    <t>Crecimiento lento; déficit alto año 1</t>
  </si>
  <si>
    <t>Posible; requiere eficiencia OPEX</t>
  </si>
  <si>
    <t>Escenario base; viable con OPEX corregido</t>
  </si>
  <si>
    <t>Escenario optimista; break-even mes 9-10</t>
  </si>
  <si>
    <t>Agresivo; requiere mayor inversión en CAC</t>
  </si>
  <si>
    <t>EBITDA Año 1 (COP M) - Churn Premium * Tasa Crecimiento Usuarios</t>
  </si>
  <si>
    <t>Sensibilidad al Costo de IA (Impacto en EBITDA Anual)</t>
  </si>
  <si>
    <t>Óptimo; requiere model distillation</t>
  </si>
  <si>
    <t>Excelente; Mistral 7B cuantizado viable</t>
  </si>
  <si>
    <t>BASE RECOMENDADO - vLLM en T4</t>
  </si>
  <si>
    <t>Límites por request; usage-based necesario</t>
  </si>
  <si>
    <t>Marginal negativo; migrar modelo</t>
  </si>
  <si>
    <t>Insostenible; rate limiting obligatorio</t>
  </si>
  <si>
    <t>Comparativo: Modelos de Monetización de IA</t>
  </si>
  <si>
    <t>Híbrido</t>
  </si>
  <si>
    <t>ÓPTIMO: Suscripción + límite soft</t>
  </si>
  <si>
    <t>Mantener para B2C</t>
  </si>
  <si>
    <t>Solo para B2B heavy-use</t>
  </si>
  <si>
    <t>Parcial: solo en free tier</t>
  </si>
  <si>
    <t>Los valores se calculan como: Usuarios Premium Promedio * 12 meses * Precio + Comisiones estimadas</t>
  </si>
  <si>
    <t>Pricing &amp; Estrategia de Crecimiento</t>
  </si>
  <si>
    <t>Conclusión</t>
  </si>
  <si>
    <t>DECISIÓN: GO CONDICIONAL
El modelo de negocio es VIABLE con ajustes críticos. La propuesta de valor es diferenciada (IA + red social + planificación) y el mercado colombiano tiene runway (turismo +15-20%/año). Sin embargo, el GO está condicionado a:
1. VALIDAR precio premium COP 29,900 con 50 usuarios beta (encuesta WTP)
2. IMPLEMENTAR caché en Amadeus API (reduce COGS en 40-60%)
3. ASEGURAR financiamiento de COP 380-450M (CAPEX + 6 meses runway)
4. DEFINIR fair use policy de IA antes del lanzamiento público</t>
  </si>
  <si>
    <t>PUNTO DE EQUILIBRIO: El break-even por comisiones baja de 2,976 a aproximadamente 1,460 reservas/mes. Incorporando suscripciones (300 premium * COP 29,900 = COP 9M/mes), el break-even se alcanza con aproximadamente 900 reservas/mes. Objetivo realista mes 8-10.</t>
  </si>
  <si>
    <t>CHURN PREMIUM: El 8%/mes (vida aproximadamente 12.5 meses) es aceptable pero mejorable. Implementar: (1) plan anual con 2 meses gratis (reduce churn a aproximadamente 3%/mes efectivo), (2) puntos de lealtad por reservas, (3) save/cancel flow con oferta de descuento 50% por 1 mes.</t>
  </si>
  <si>
    <t>REDUCIR DEPENDENCIA DE WOMPI: A escala (&gt;5K reservas/mes), evaluar negociación de tarifa preferencial con Wompi o migración a adquirencia directa (reducción de aproximadamente 0.5% = COP 2,500 por transacción de COP 500K = COP 12.5M/año en ahorro con 5K reservas/mes).</t>
  </si>
  <si>
    <t>Registro de Riesgos Ocultos</t>
  </si>
  <si>
    <t>Alto</t>
  </si>
  <si>
    <t>B2B: Ampliar revenue por cliente. COP 500K/mes es el mínimo viable. Roadmap: Tier básico COP 500K (posicionamiento) -&gt; Tier Analytics COP 1.5M (dashboards) -&gt; Tier API (COP 3M+). Con 15 clientes B2B mes 12: COP 7.5M/mes -&gt; COP 22.5M potencial con upsell.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</si>
</sst>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;\(0.0%\);&quot;-&quot;"/>
    <numFmt numFmtId="166" formatCode="#,##0;\(#,##0\);&quot;-&quot;"/>
    <numFmt numFmtId="167" formatCode="0.0"/>
    <numFmt numFmtId="168" formatCode="0.0\x"/>
    <numFmt numFmtId="169" formatCode="#,##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i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44" fontId="0" fillId="0" borderId="10" xfId="1" applyFont="1" applyBorder="1"/>
    <xf numFmtId="0" fontId="18" fillId="0" borderId="10" xfId="43" applyBorder="1"/>
    <xf numFmtId="44" fontId="0" fillId="0" borderId="10" xfId="0" applyNumberFormat="1" applyBorder="1"/>
    <xf numFmtId="0" fontId="0" fillId="0" borderId="10" xfId="0" applyBorder="1" applyAlignment="1">
      <alignment wrapText="1"/>
    </xf>
    <xf numFmtId="0" fontId="18" fillId="0" borderId="10" xfId="43" applyBorder="1" applyAlignment="1">
      <alignment wrapText="1"/>
    </xf>
    <xf numFmtId="164" fontId="0" fillId="0" borderId="10" xfId="1" applyNumberFormat="1" applyFont="1" applyBorder="1"/>
    <xf numFmtId="0" fontId="0" fillId="33" borderId="10" xfId="0" applyFill="1" applyBorder="1" applyAlignment="1">
      <alignment horizontal="center"/>
    </xf>
    <xf numFmtId="164" fontId="0" fillId="0" borderId="10" xfId="1" applyNumberFormat="1" applyFont="1" applyBorder="1" applyAlignment="1">
      <alignment wrapText="1"/>
    </xf>
    <xf numFmtId="164" fontId="0" fillId="0" borderId="10" xfId="0" applyNumberFormat="1" applyBorder="1"/>
    <xf numFmtId="44" fontId="18" fillId="0" borderId="10" xfId="43" applyNumberFormat="1" applyBorder="1"/>
    <xf numFmtId="44" fontId="0" fillId="0" borderId="10" xfId="0" applyNumberFormat="1" applyBorder="1" applyAlignment="1">
      <alignment vertical="center"/>
    </xf>
    <xf numFmtId="44" fontId="18" fillId="0" borderId="13" xfId="43" applyNumberFormat="1" applyBorder="1" applyAlignment="1">
      <alignment horizontal="left" vertical="center"/>
    </xf>
    <xf numFmtId="44" fontId="18" fillId="0" borderId="10" xfId="43" applyNumberFormat="1" applyBorder="1" applyAlignment="1">
      <alignment horizontal="left" vertical="center"/>
    </xf>
    <xf numFmtId="0" fontId="18" fillId="0" borderId="10" xfId="43" applyBorder="1" applyAlignment="1">
      <alignment horizontal="left"/>
    </xf>
    <xf numFmtId="0" fontId="0" fillId="33" borderId="14" xfId="0" applyFill="1" applyBorder="1"/>
    <xf numFmtId="164" fontId="0" fillId="0" borderId="14" xfId="1" applyNumberFormat="1" applyFont="1" applyBorder="1"/>
    <xf numFmtId="0" fontId="0" fillId="0" borderId="15" xfId="0" applyBorder="1"/>
    <xf numFmtId="0" fontId="18" fillId="0" borderId="15" xfId="43" applyFill="1" applyBorder="1"/>
    <xf numFmtId="9" fontId="0" fillId="0" borderId="10" xfId="44" applyFont="1" applyBorder="1"/>
    <xf numFmtId="10" fontId="0" fillId="0" borderId="10" xfId="0" applyNumberFormat="1" applyBorder="1"/>
    <xf numFmtId="9" fontId="0" fillId="0" borderId="10" xfId="0" applyNumberFormat="1" applyBorder="1"/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right" vertical="center"/>
    </xf>
    <xf numFmtId="0" fontId="20" fillId="0" borderId="0" xfId="0" applyFont="1"/>
    <xf numFmtId="0" fontId="21" fillId="33" borderId="10" xfId="0" applyFont="1" applyFill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164" fontId="19" fillId="0" borderId="10" xfId="1" applyNumberFormat="1" applyFont="1" applyBorder="1" applyAlignment="1">
      <alignment horizontal="right" vertical="center"/>
    </xf>
    <xf numFmtId="164" fontId="19" fillId="0" borderId="10" xfId="1" applyNumberFormat="1" applyFont="1" applyFill="1" applyBorder="1" applyAlignment="1">
      <alignment horizontal="right" vertical="center"/>
    </xf>
    <xf numFmtId="165" fontId="19" fillId="0" borderId="10" xfId="0" applyNumberFormat="1" applyFont="1" applyBorder="1" applyAlignment="1">
      <alignment horizontal="right" vertical="center"/>
    </xf>
    <xf numFmtId="164" fontId="19" fillId="0" borderId="10" xfId="1" applyNumberFormat="1" applyFont="1" applyBorder="1" applyAlignment="1">
      <alignment horizontal="left" vertical="center"/>
    </xf>
    <xf numFmtId="167" fontId="19" fillId="0" borderId="10" xfId="0" applyNumberFormat="1" applyFont="1" applyBorder="1" applyAlignment="1">
      <alignment horizontal="right" vertical="center"/>
    </xf>
    <xf numFmtId="166" fontId="19" fillId="0" borderId="10" xfId="0" applyNumberFormat="1" applyFont="1" applyBorder="1" applyAlignment="1">
      <alignment horizontal="right" vertical="center"/>
    </xf>
    <xf numFmtId="168" fontId="19" fillId="0" borderId="10" xfId="0" applyNumberFormat="1" applyFont="1" applyBorder="1" applyAlignment="1">
      <alignment horizontal="right" vertical="center"/>
    </xf>
    <xf numFmtId="0" fontId="21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left" vertical="center"/>
    </xf>
    <xf numFmtId="0" fontId="20" fillId="35" borderId="10" xfId="0" applyFont="1" applyFill="1" applyBorder="1"/>
    <xf numFmtId="0" fontId="21" fillId="0" borderId="10" xfId="0" applyFont="1" applyBorder="1" applyAlignment="1">
      <alignment horizontal="left" vertical="center"/>
    </xf>
    <xf numFmtId="166" fontId="21" fillId="0" borderId="10" xfId="0" applyNumberFormat="1" applyFont="1" applyBorder="1" applyAlignment="1">
      <alignment horizontal="right" vertical="center"/>
    </xf>
    <xf numFmtId="165" fontId="21" fillId="0" borderId="10" xfId="0" applyNumberFormat="1" applyFont="1" applyBorder="1" applyAlignment="1">
      <alignment horizontal="right" vertical="center"/>
    </xf>
    <xf numFmtId="0" fontId="19" fillId="0" borderId="0" xfId="0" applyFont="1" applyAlignment="1">
      <alignment vertical="center" wrapText="1"/>
    </xf>
    <xf numFmtId="164" fontId="21" fillId="0" borderId="10" xfId="1" applyNumberFormat="1" applyFont="1" applyFill="1" applyBorder="1" applyAlignment="1">
      <alignment horizontal="right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/>
    </xf>
    <xf numFmtId="0" fontId="22" fillId="0" borderId="0" xfId="0" applyFont="1" applyAlignment="1">
      <alignment vertical="center" wrapText="1"/>
    </xf>
    <xf numFmtId="164" fontId="20" fillId="0" borderId="10" xfId="1" applyNumberFormat="1" applyFont="1" applyFill="1" applyBorder="1" applyAlignment="1">
      <alignment horizontal="right" vertical="center"/>
    </xf>
    <xf numFmtId="0" fontId="20" fillId="33" borderId="10" xfId="0" applyFont="1" applyFill="1" applyBorder="1" applyAlignment="1">
      <alignment horizontal="center" vertical="center" wrapText="1"/>
    </xf>
    <xf numFmtId="169" fontId="20" fillId="0" borderId="10" xfId="0" applyNumberFormat="1" applyFont="1" applyBorder="1" applyAlignment="1">
      <alignment horizontal="right" vertical="center"/>
    </xf>
    <xf numFmtId="0" fontId="20" fillId="0" borderId="10" xfId="0" applyFont="1" applyBorder="1" applyAlignment="1">
      <alignment horizontal="right" vertical="center"/>
    </xf>
    <xf numFmtId="10" fontId="20" fillId="0" borderId="10" xfId="0" applyNumberFormat="1" applyFont="1" applyBorder="1" applyAlignment="1">
      <alignment horizontal="right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wrapText="1"/>
    </xf>
    <xf numFmtId="0" fontId="20" fillId="35" borderId="14" xfId="0" applyFont="1" applyFill="1" applyBorder="1" applyAlignment="1">
      <alignment horizontal="left" vertical="center"/>
    </xf>
    <xf numFmtId="0" fontId="20" fillId="35" borderId="18" xfId="0" applyFont="1" applyFill="1" applyBorder="1" applyAlignment="1">
      <alignment horizontal="left" vertical="center"/>
    </xf>
    <xf numFmtId="0" fontId="20" fillId="35" borderId="19" xfId="0" applyFont="1" applyFill="1" applyBorder="1" applyAlignment="1">
      <alignment horizontal="left" vertical="center"/>
    </xf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 vertical="center"/>
    </xf>
    <xf numFmtId="0" fontId="20" fillId="33" borderId="10" xfId="0" applyFont="1" applyFill="1" applyBorder="1"/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4" borderId="11" xfId="0" applyFill="1" applyBorder="1" applyAlignment="1">
      <alignment horizontal="left" vertical="center"/>
    </xf>
    <xf numFmtId="0" fontId="0" fillId="34" borderId="12" xfId="0" applyFill="1" applyBorder="1" applyAlignment="1">
      <alignment horizontal="left" vertical="center"/>
    </xf>
    <xf numFmtId="0" fontId="0" fillId="34" borderId="13" xfId="0" applyFill="1" applyBorder="1" applyAlignment="1">
      <alignment horizontal="left" vertical="center"/>
    </xf>
    <xf numFmtId="44" fontId="18" fillId="0" borderId="11" xfId="43" applyNumberFormat="1" applyBorder="1" applyAlignment="1">
      <alignment horizontal="center" vertical="center" textRotation="90"/>
    </xf>
    <xf numFmtId="44" fontId="18" fillId="0" borderId="12" xfId="43" applyNumberFormat="1" applyBorder="1" applyAlignment="1">
      <alignment horizontal="center" vertical="center" textRotation="90"/>
    </xf>
    <xf numFmtId="44" fontId="18" fillId="0" borderId="13" xfId="43" applyNumberFormat="1" applyBorder="1" applyAlignment="1">
      <alignment horizontal="center" vertical="center" textRotation="90"/>
    </xf>
    <xf numFmtId="44" fontId="18" fillId="0" borderId="11" xfId="43" applyNumberFormat="1" applyBorder="1" applyAlignment="1">
      <alignment horizontal="left" vertical="center"/>
    </xf>
    <xf numFmtId="44" fontId="18" fillId="0" borderId="12" xfId="43" applyNumberFormat="1" applyBorder="1" applyAlignment="1">
      <alignment horizontal="left" vertical="center"/>
    </xf>
    <xf numFmtId="44" fontId="18" fillId="0" borderId="13" xfId="43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33" borderId="10" xfId="0" applyFill="1" applyBorder="1" applyAlignment="1">
      <alignment horizontal="left"/>
    </xf>
    <xf numFmtId="0" fontId="19" fillId="33" borderId="10" xfId="0" applyFont="1" applyFill="1" applyBorder="1" applyAlignment="1">
      <alignment horizontal="left" vertical="center"/>
    </xf>
    <xf numFmtId="0" fontId="0" fillId="33" borderId="14" xfId="0" applyFill="1" applyBorder="1" applyAlignment="1">
      <alignment horizontal="left"/>
    </xf>
    <xf numFmtId="0" fontId="0" fillId="33" borderId="18" xfId="0" applyFill="1" applyBorder="1" applyAlignment="1">
      <alignment horizontal="left"/>
    </xf>
    <xf numFmtId="0" fontId="0" fillId="33" borderId="19" xfId="0" applyFill="1" applyBorder="1" applyAlignment="1">
      <alignment horizontal="left"/>
    </xf>
    <xf numFmtId="0" fontId="0" fillId="33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20" fillId="33" borderId="10" xfId="0" applyFont="1" applyFill="1" applyBorder="1" applyAlignment="1">
      <alignment vertical="center"/>
    </xf>
    <xf numFmtId="164" fontId="20" fillId="33" borderId="10" xfId="1" applyNumberFormat="1" applyFont="1" applyFill="1" applyBorder="1" applyAlignment="1">
      <alignment vertical="center"/>
    </xf>
    <xf numFmtId="164" fontId="20" fillId="33" borderId="10" xfId="1" applyNumberFormat="1" applyFont="1" applyFill="1" applyBorder="1" applyAlignment="1"/>
    <xf numFmtId="0" fontId="21" fillId="33" borderId="10" xfId="0" applyFont="1" applyFill="1" applyBorder="1" applyAlignment="1">
      <alignment horizontal="left" vertical="center"/>
    </xf>
    <xf numFmtId="0" fontId="20" fillId="35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left" vertical="center"/>
    </xf>
    <xf numFmtId="0" fontId="20" fillId="35" borderId="10" xfId="0" applyFont="1" applyFill="1" applyBorder="1"/>
    <xf numFmtId="0" fontId="20" fillId="35" borderId="1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4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cb.org.co/tramites-y-consultas/sobre-registros/tarifas" TargetMode="External"/><Relationship Id="rId2" Type="http://schemas.openxmlformats.org/officeDocument/2006/relationships/hyperlink" Target="https://www.mincit.gov.co/minturismo/analisis-sectorial-y-promocion/preguntas-frecuentes-relacionadas-con-formalizacio/2-cuales-son-los-costos-del-registro-nacional-de-t" TargetMode="External"/><Relationship Id="rId1" Type="http://schemas.openxmlformats.org/officeDocument/2006/relationships/hyperlink" Target="https://www.payscale.com/research/CO/Job=Full_Stack_Software_Developer/Salary" TargetMode="External"/><Relationship Id="rId6" Type="http://schemas.openxmlformats.org/officeDocument/2006/relationships/hyperlink" Target="https://marketingcpe.com.co/blog/cuanto-cobra-una-agencia-de-marketing-digital-en-colombia/" TargetMode="External"/><Relationship Id="rId5" Type="http://schemas.openxmlformats.org/officeDocument/2006/relationships/hyperlink" Target="https://www.payscale.com/research/CO/Job=Graphic_Designer/Salary" TargetMode="External"/><Relationship Id="rId4" Type="http://schemas.openxmlformats.org/officeDocument/2006/relationships/hyperlink" Target="https://www.sic.gov.co/tasas-signos-distintivo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alculator.aws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wilio.com/en-us/pricing" TargetMode="External"/><Relationship Id="rId2" Type="http://schemas.openxmlformats.org/officeDocument/2006/relationships/hyperlink" Target="https://developers.amadeus.com/pricing" TargetMode="External"/><Relationship Id="rId1" Type="http://schemas.openxmlformats.org/officeDocument/2006/relationships/hyperlink" Target="https://mapsplatform.google.com/pricing/" TargetMode="External"/><Relationship Id="rId4" Type="http://schemas.openxmlformats.org/officeDocument/2006/relationships/hyperlink" Target="https://wompi.com/es/co/planes-tarifas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vistar.com.co/hogar/planes-internet-hogar" TargetMode="External"/><Relationship Id="rId2" Type="http://schemas.openxmlformats.org/officeDocument/2006/relationships/hyperlink" Target="https://calculator.aws/" TargetMode="External"/><Relationship Id="rId1" Type="http://schemas.openxmlformats.org/officeDocument/2006/relationships/hyperlink" Target="https://www.payscale.com/research/CO/Job" TargetMode="External"/><Relationship Id="rId5" Type="http://schemas.openxmlformats.org/officeDocument/2006/relationships/hyperlink" Target="https://marketingcpe.com.co/blog/cuanto-cobra-una-agencia-de-marketing-digital-en-colombia/" TargetMode="External"/><Relationship Id="rId4" Type="http://schemas.openxmlformats.org/officeDocument/2006/relationships/hyperlink" Target="https://www.enel.com.co/es/personas/tarifas-energia-enel-distribuc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AC47-DC7B-4552-AA4E-A83C0183BBF0}">
  <dimension ref="A1:D19"/>
  <sheetViews>
    <sheetView workbookViewId="0">
      <selection activeCell="A15" sqref="A15:B15"/>
    </sheetView>
  </sheetViews>
  <sheetFormatPr defaultRowHeight="15" x14ac:dyDescent="0.25"/>
  <cols>
    <col min="1" max="1" width="21.42578125" bestFit="1" customWidth="1"/>
    <col min="2" max="2" width="24.5703125" bestFit="1" customWidth="1"/>
    <col min="3" max="3" width="29.28515625" bestFit="1" customWidth="1"/>
    <col min="4" max="4" width="32" bestFit="1" customWidth="1"/>
  </cols>
  <sheetData>
    <row r="1" spans="1:4" x14ac:dyDescent="0.25">
      <c r="A1" s="2" t="s">
        <v>105</v>
      </c>
      <c r="B1" s="2" t="s">
        <v>3</v>
      </c>
      <c r="C1" s="2" t="s">
        <v>91</v>
      </c>
      <c r="D1" s="2" t="s">
        <v>2</v>
      </c>
    </row>
    <row r="2" spans="1:4" x14ac:dyDescent="0.25">
      <c r="A2" s="65" t="s">
        <v>94</v>
      </c>
      <c r="B2" s="1" t="s">
        <v>51</v>
      </c>
      <c r="C2" s="1" t="s">
        <v>52</v>
      </c>
      <c r="D2" s="1" t="s">
        <v>53</v>
      </c>
    </row>
    <row r="3" spans="1:4" x14ac:dyDescent="0.25">
      <c r="A3" s="66"/>
      <c r="B3" s="1" t="s">
        <v>101</v>
      </c>
      <c r="C3" s="1" t="s">
        <v>54</v>
      </c>
      <c r="D3" s="1" t="s">
        <v>102</v>
      </c>
    </row>
    <row r="4" spans="1:4" x14ac:dyDescent="0.25">
      <c r="A4" s="66"/>
      <c r="B4" s="1" t="s">
        <v>55</v>
      </c>
      <c r="C4" s="1" t="s">
        <v>95</v>
      </c>
      <c r="D4" s="1" t="s">
        <v>56</v>
      </c>
    </row>
    <row r="5" spans="1:4" x14ac:dyDescent="0.25">
      <c r="A5" s="67"/>
      <c r="B5" s="1" t="s">
        <v>57</v>
      </c>
      <c r="C5" s="1" t="s">
        <v>103</v>
      </c>
      <c r="D5" s="1" t="s">
        <v>107</v>
      </c>
    </row>
    <row r="6" spans="1:4" x14ac:dyDescent="0.25">
      <c r="A6" s="65" t="s">
        <v>58</v>
      </c>
      <c r="B6" s="1" t="s">
        <v>50</v>
      </c>
      <c r="C6" s="1" t="s">
        <v>59</v>
      </c>
      <c r="D6" s="1" t="s">
        <v>96</v>
      </c>
    </row>
    <row r="7" spans="1:4" x14ac:dyDescent="0.25">
      <c r="A7" s="66"/>
      <c r="B7" s="1" t="s">
        <v>97</v>
      </c>
      <c r="C7" s="1" t="s">
        <v>60</v>
      </c>
      <c r="D7" s="1" t="s">
        <v>61</v>
      </c>
    </row>
    <row r="8" spans="1:4" x14ac:dyDescent="0.25">
      <c r="A8" s="67"/>
      <c r="B8" s="1" t="s">
        <v>62</v>
      </c>
      <c r="C8" s="1" t="s">
        <v>63</v>
      </c>
      <c r="D8" s="1" t="s">
        <v>64</v>
      </c>
    </row>
    <row r="9" spans="1:4" x14ac:dyDescent="0.25">
      <c r="A9" s="65" t="s">
        <v>65</v>
      </c>
      <c r="B9" s="1" t="s">
        <v>66</v>
      </c>
      <c r="C9" s="1" t="s">
        <v>67</v>
      </c>
      <c r="D9" s="1" t="s">
        <v>68</v>
      </c>
    </row>
    <row r="10" spans="1:4" x14ac:dyDescent="0.25">
      <c r="A10" s="66"/>
      <c r="B10" s="1" t="s">
        <v>69</v>
      </c>
      <c r="C10" s="1" t="s">
        <v>70</v>
      </c>
      <c r="D10" s="1" t="s">
        <v>98</v>
      </c>
    </row>
    <row r="11" spans="1:4" x14ac:dyDescent="0.25">
      <c r="A11" s="66"/>
      <c r="B11" s="1" t="s">
        <v>71</v>
      </c>
      <c r="C11" s="1" t="s">
        <v>72</v>
      </c>
      <c r="D11" s="1" t="s">
        <v>106</v>
      </c>
    </row>
    <row r="12" spans="1:4" x14ac:dyDescent="0.25">
      <c r="A12" s="66"/>
      <c r="B12" s="1" t="s">
        <v>73</v>
      </c>
      <c r="C12" s="1" t="s">
        <v>74</v>
      </c>
      <c r="D12" s="1" t="s">
        <v>99</v>
      </c>
    </row>
    <row r="13" spans="1:4" x14ac:dyDescent="0.25">
      <c r="A13" s="67"/>
      <c r="B13" s="1" t="s">
        <v>100</v>
      </c>
      <c r="C13" s="1" t="s">
        <v>104</v>
      </c>
      <c r="D13" s="1" t="s">
        <v>75</v>
      </c>
    </row>
    <row r="15" spans="1:4" x14ac:dyDescent="0.25">
      <c r="A15" s="10" t="s">
        <v>132</v>
      </c>
      <c r="B15" s="10" t="s">
        <v>88</v>
      </c>
    </row>
    <row r="16" spans="1:4" x14ac:dyDescent="0.25">
      <c r="A16" s="4">
        <v>1</v>
      </c>
      <c r="B16" s="9">
        <v>4200</v>
      </c>
    </row>
    <row r="18" spans="1:2" x14ac:dyDescent="0.25">
      <c r="A18" s="18" t="s">
        <v>165</v>
      </c>
      <c r="B18" s="20"/>
    </row>
    <row r="19" spans="1:2" x14ac:dyDescent="0.25">
      <c r="A19" s="19">
        <v>500000</v>
      </c>
      <c r="B19" s="21"/>
    </row>
  </sheetData>
  <mergeCells count="3">
    <mergeCell ref="A2:A5"/>
    <mergeCell ref="A6:A8"/>
    <mergeCell ref="A9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8DB3-1AE9-445F-8559-32CE5B6A3187}">
  <dimension ref="A1:E8"/>
  <sheetViews>
    <sheetView zoomScaleNormal="100" workbookViewId="0">
      <selection activeCell="C8" sqref="C8"/>
    </sheetView>
  </sheetViews>
  <sheetFormatPr defaultRowHeight="15" x14ac:dyDescent="0.25"/>
  <cols>
    <col min="1" max="1" width="21.85546875" bestFit="1" customWidth="1"/>
    <col min="2" max="2" width="40" bestFit="1" customWidth="1"/>
    <col min="3" max="3" width="13.7109375" bestFit="1" customWidth="1"/>
    <col min="4" max="4" width="40.28515625" bestFit="1" customWidth="1"/>
    <col min="5" max="5" width="48.7109375" bestFit="1" customWidth="1"/>
  </cols>
  <sheetData>
    <row r="1" spans="1:5" x14ac:dyDescent="0.25">
      <c r="A1" s="2" t="s">
        <v>0</v>
      </c>
      <c r="B1" s="2" t="s">
        <v>91</v>
      </c>
      <c r="C1" s="2" t="s">
        <v>1</v>
      </c>
      <c r="D1" s="2" t="s">
        <v>2</v>
      </c>
      <c r="E1" s="2" t="s">
        <v>3</v>
      </c>
    </row>
    <row r="2" spans="1:5" ht="45" x14ac:dyDescent="0.25">
      <c r="A2" s="3" t="s">
        <v>4</v>
      </c>
      <c r="B2" s="1" t="s">
        <v>5</v>
      </c>
      <c r="C2" s="9">
        <f>(61041889)*3</f>
        <v>183125667</v>
      </c>
      <c r="D2" s="5" t="s">
        <v>6</v>
      </c>
      <c r="E2" s="7" t="s">
        <v>126</v>
      </c>
    </row>
    <row r="3" spans="1:5" ht="30" x14ac:dyDescent="0.25">
      <c r="A3" s="68" t="s">
        <v>92</v>
      </c>
      <c r="B3" s="1" t="s">
        <v>121</v>
      </c>
      <c r="C3" s="9">
        <v>194000</v>
      </c>
      <c r="D3" s="5" t="s">
        <v>93</v>
      </c>
      <c r="E3" s="7" t="s">
        <v>127</v>
      </c>
    </row>
    <row r="4" spans="1:5" x14ac:dyDescent="0.25">
      <c r="A4" s="69"/>
      <c r="B4" s="1" t="s">
        <v>120</v>
      </c>
      <c r="C4" s="9">
        <v>0</v>
      </c>
      <c r="D4" s="5" t="s">
        <v>119</v>
      </c>
      <c r="E4" s="7" t="s">
        <v>128</v>
      </c>
    </row>
    <row r="5" spans="1:5" ht="45" x14ac:dyDescent="0.25">
      <c r="A5" s="70"/>
      <c r="B5" s="1" t="s">
        <v>122</v>
      </c>
      <c r="C5" s="9">
        <v>1347500</v>
      </c>
      <c r="D5" s="8" t="s">
        <v>123</v>
      </c>
      <c r="E5" s="7" t="s">
        <v>129</v>
      </c>
    </row>
    <row r="6" spans="1:5" x14ac:dyDescent="0.25">
      <c r="A6" s="3" t="s">
        <v>111</v>
      </c>
      <c r="B6" s="1" t="s">
        <v>7</v>
      </c>
      <c r="C6" s="9">
        <f>26400002/2</f>
        <v>13200001</v>
      </c>
      <c r="D6" s="5" t="s">
        <v>6</v>
      </c>
      <c r="E6" s="7" t="s">
        <v>130</v>
      </c>
    </row>
    <row r="7" spans="1:5" ht="30" x14ac:dyDescent="0.25">
      <c r="A7" s="3" t="s">
        <v>8</v>
      </c>
      <c r="B7" s="1" t="s">
        <v>124</v>
      </c>
      <c r="C7" s="9">
        <f>3370000*6</f>
        <v>20220000</v>
      </c>
      <c r="D7" s="5" t="s">
        <v>125</v>
      </c>
      <c r="E7" s="7" t="s">
        <v>131</v>
      </c>
    </row>
    <row r="8" spans="1:5" x14ac:dyDescent="0.25">
      <c r="A8" s="2" t="s">
        <v>9</v>
      </c>
      <c r="B8" s="1"/>
      <c r="C8" s="9">
        <f>SUM(C2:C7)</f>
        <v>218087168</v>
      </c>
      <c r="D8" s="1"/>
      <c r="E8" s="1"/>
    </row>
  </sheetData>
  <mergeCells count="1">
    <mergeCell ref="A3:A5"/>
  </mergeCells>
  <hyperlinks>
    <hyperlink ref="D2" r:id="rId1" xr:uid="{8A14BC9C-AF2C-4BD9-BA0B-87E33032C2DC}"/>
    <hyperlink ref="D4" r:id="rId2" xr:uid="{F7F056D3-3A9B-4078-8971-F3B1990CE062}"/>
    <hyperlink ref="D3" r:id="rId3" xr:uid="{57200D3C-6076-48D6-ACA6-104EC4030C6C}"/>
    <hyperlink ref="D5" r:id="rId4" xr:uid="{721DCD57-EF38-44D1-A105-19B68D355445}"/>
    <hyperlink ref="D6" r:id="rId5" xr:uid="{CE9128AD-20BD-4F56-AC4B-2AA3629FD752}"/>
    <hyperlink ref="D7" r:id="rId6" xr:uid="{A76BB2F8-68C3-40C4-85FE-A2B44AA161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32F1-8567-43DC-AF03-F70B2C56DD64}">
  <dimension ref="A1:F11"/>
  <sheetViews>
    <sheetView workbookViewId="0">
      <selection activeCell="F7" sqref="F7"/>
    </sheetView>
  </sheetViews>
  <sheetFormatPr defaultRowHeight="15" x14ac:dyDescent="0.25"/>
  <cols>
    <col min="1" max="1" width="24.5703125" bestFit="1" customWidth="1"/>
    <col min="2" max="2" width="34.42578125" bestFit="1" customWidth="1"/>
    <col min="3" max="3" width="19.85546875" bestFit="1" customWidth="1"/>
    <col min="4" max="4" width="17.42578125" bestFit="1" customWidth="1"/>
    <col min="5" max="5" width="6.85546875" bestFit="1" customWidth="1"/>
    <col min="6" max="6" width="42.140625" bestFit="1" customWidth="1"/>
  </cols>
  <sheetData>
    <row r="1" spans="1:6" x14ac:dyDescent="0.25">
      <c r="A1" s="2" t="s">
        <v>10</v>
      </c>
      <c r="B1" s="2" t="s">
        <v>91</v>
      </c>
      <c r="C1" s="2" t="s">
        <v>11</v>
      </c>
      <c r="D1" s="2" t="s">
        <v>12</v>
      </c>
      <c r="E1" s="2" t="s">
        <v>2</v>
      </c>
      <c r="F1" s="2" t="s">
        <v>3</v>
      </c>
    </row>
    <row r="2" spans="1:6" x14ac:dyDescent="0.25">
      <c r="A2" s="7" t="s">
        <v>13</v>
      </c>
      <c r="B2" s="7" t="s">
        <v>110</v>
      </c>
      <c r="C2" s="9">
        <f>1*Supuestos!$B$16</f>
        <v>4200</v>
      </c>
      <c r="D2" s="9">
        <f>C2*12</f>
        <v>50400</v>
      </c>
      <c r="E2" s="71" t="s">
        <v>133</v>
      </c>
      <c r="F2" s="7" t="s">
        <v>136</v>
      </c>
    </row>
    <row r="3" spans="1:6" ht="30" x14ac:dyDescent="0.25">
      <c r="A3" s="7" t="s">
        <v>14</v>
      </c>
      <c r="B3" s="7" t="s">
        <v>138</v>
      </c>
      <c r="C3" s="9">
        <f>21.1*Supuestos!$B$16</f>
        <v>88620</v>
      </c>
      <c r="D3" s="9">
        <f t="shared" ref="D3:D9" si="0">C3*12</f>
        <v>1063440</v>
      </c>
      <c r="E3" s="72"/>
      <c r="F3" s="7" t="s">
        <v>137</v>
      </c>
    </row>
    <row r="4" spans="1:6" ht="75" x14ac:dyDescent="0.25">
      <c r="A4" s="7" t="s">
        <v>134</v>
      </c>
      <c r="B4" s="7" t="s">
        <v>139</v>
      </c>
      <c r="C4" s="9">
        <f>12.26*Supuestos!$B$16</f>
        <v>51492</v>
      </c>
      <c r="D4" s="9">
        <f t="shared" si="0"/>
        <v>617904</v>
      </c>
      <c r="E4" s="72"/>
      <c r="F4" s="7" t="s">
        <v>140</v>
      </c>
    </row>
    <row r="5" spans="1:6" ht="75" x14ac:dyDescent="0.25">
      <c r="A5" s="7" t="s">
        <v>135</v>
      </c>
      <c r="B5" s="7" t="s">
        <v>141</v>
      </c>
      <c r="C5" s="11">
        <f>500*Supuestos!$B$16</f>
        <v>2100000</v>
      </c>
      <c r="D5" s="9">
        <f t="shared" si="0"/>
        <v>25200000</v>
      </c>
      <c r="E5" s="72"/>
      <c r="F5" s="7" t="s">
        <v>142</v>
      </c>
    </row>
    <row r="6" spans="1:6" ht="45" x14ac:dyDescent="0.25">
      <c r="A6" s="7" t="s">
        <v>15</v>
      </c>
      <c r="B6" s="7" t="s">
        <v>143</v>
      </c>
      <c r="C6" s="11">
        <f>4.74*Supuestos!$B$16</f>
        <v>19908</v>
      </c>
      <c r="D6" s="9">
        <f t="shared" si="0"/>
        <v>238896</v>
      </c>
      <c r="E6" s="72"/>
      <c r="F6" s="7" t="s">
        <v>144</v>
      </c>
    </row>
    <row r="7" spans="1:6" ht="30" x14ac:dyDescent="0.25">
      <c r="A7" s="7" t="s">
        <v>16</v>
      </c>
      <c r="B7" s="7" t="s">
        <v>145</v>
      </c>
      <c r="C7" s="11">
        <f>42.5*Supuestos!$B$16</f>
        <v>178500</v>
      </c>
      <c r="D7" s="9">
        <f t="shared" si="0"/>
        <v>2142000</v>
      </c>
      <c r="E7" s="72"/>
      <c r="F7" s="7" t="s">
        <v>146</v>
      </c>
    </row>
    <row r="8" spans="1:6" ht="30" x14ac:dyDescent="0.25">
      <c r="A8" s="7" t="s">
        <v>17</v>
      </c>
      <c r="B8" s="7" t="s">
        <v>147</v>
      </c>
      <c r="C8" s="11">
        <f>20.71*Supuestos!$B$16</f>
        <v>86982</v>
      </c>
      <c r="D8" s="9">
        <f t="shared" si="0"/>
        <v>1043784</v>
      </c>
      <c r="E8" s="72"/>
      <c r="F8" s="7" t="s">
        <v>148</v>
      </c>
    </row>
    <row r="9" spans="1:6" x14ac:dyDescent="0.25">
      <c r="A9" s="7" t="s">
        <v>18</v>
      </c>
      <c r="B9" s="7" t="s">
        <v>149</v>
      </c>
      <c r="C9" s="11">
        <f>10*Supuestos!$B$16</f>
        <v>42000</v>
      </c>
      <c r="D9" s="9">
        <f t="shared" si="0"/>
        <v>504000</v>
      </c>
      <c r="E9" s="72"/>
      <c r="F9" s="7" t="s">
        <v>150</v>
      </c>
    </row>
    <row r="10" spans="1:6" ht="30" x14ac:dyDescent="0.25">
      <c r="A10" s="7" t="s">
        <v>19</v>
      </c>
      <c r="B10" s="7" t="s">
        <v>151</v>
      </c>
      <c r="C10" s="11">
        <f>0.2*Supuestos!$B$16</f>
        <v>840</v>
      </c>
      <c r="D10" s="9">
        <f>C10*12</f>
        <v>10080</v>
      </c>
      <c r="E10" s="73"/>
      <c r="F10" s="7" t="s">
        <v>152</v>
      </c>
    </row>
    <row r="11" spans="1:6" x14ac:dyDescent="0.25">
      <c r="A11" s="2" t="s">
        <v>20</v>
      </c>
      <c r="B11" s="1"/>
      <c r="C11" s="12">
        <f>SUM(C2:C10)</f>
        <v>2572542</v>
      </c>
      <c r="D11" s="12">
        <f>SUM(D2:D10)</f>
        <v>30870504</v>
      </c>
      <c r="E11" s="6"/>
      <c r="F11" s="1"/>
    </row>
  </sheetData>
  <mergeCells count="1">
    <mergeCell ref="E2:E10"/>
  </mergeCells>
  <hyperlinks>
    <hyperlink ref="E2:E10" r:id="rId1" location="/addService" display="AWS Pricing Calculator" xr:uid="{F9A7A38B-3AFA-45AF-A948-182DF9038C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42D6-DE7C-40C3-A10A-149B57816175}">
  <dimension ref="A1:F4"/>
  <sheetViews>
    <sheetView workbookViewId="0">
      <selection activeCell="A3" sqref="A3"/>
    </sheetView>
  </sheetViews>
  <sheetFormatPr defaultRowHeight="15" x14ac:dyDescent="0.25"/>
  <cols>
    <col min="1" max="1" width="24.5703125" bestFit="1" customWidth="1"/>
    <col min="2" max="2" width="18" bestFit="1" customWidth="1"/>
    <col min="3" max="3" width="19.85546875" bestFit="1" customWidth="1"/>
    <col min="4" max="4" width="17.42578125" bestFit="1" customWidth="1"/>
    <col min="5" max="5" width="16.28515625" bestFit="1" customWidth="1"/>
    <col min="6" max="6" width="39.7109375" bestFit="1" customWidth="1"/>
  </cols>
  <sheetData>
    <row r="1" spans="1:6" x14ac:dyDescent="0.25">
      <c r="A1" s="2" t="s">
        <v>21</v>
      </c>
      <c r="B1" s="2" t="s">
        <v>22</v>
      </c>
      <c r="C1" s="2" t="s">
        <v>11</v>
      </c>
      <c r="D1" s="2" t="s">
        <v>12</v>
      </c>
      <c r="E1" s="2" t="s">
        <v>23</v>
      </c>
      <c r="F1" s="2" t="s">
        <v>3</v>
      </c>
    </row>
    <row r="2" spans="1:6" x14ac:dyDescent="0.25">
      <c r="A2" s="1" t="s">
        <v>109</v>
      </c>
      <c r="B2" s="1" t="s">
        <v>24</v>
      </c>
      <c r="C2" s="4">
        <v>0</v>
      </c>
      <c r="D2" s="4">
        <v>0</v>
      </c>
      <c r="E2" s="1" t="s">
        <v>25</v>
      </c>
      <c r="F2" s="1" t="s">
        <v>26</v>
      </c>
    </row>
    <row r="3" spans="1:6" x14ac:dyDescent="0.25">
      <c r="A3" s="1" t="s">
        <v>108</v>
      </c>
      <c r="B3" s="1" t="s">
        <v>27</v>
      </c>
      <c r="C3" s="4">
        <v>0</v>
      </c>
      <c r="D3" s="4">
        <v>0</v>
      </c>
      <c r="E3" s="1" t="s">
        <v>28</v>
      </c>
      <c r="F3" s="1" t="s">
        <v>29</v>
      </c>
    </row>
    <row r="4" spans="1:6" x14ac:dyDescent="0.25">
      <c r="A4" s="2" t="s">
        <v>30</v>
      </c>
      <c r="B4" s="1"/>
      <c r="C4" s="6">
        <f>SUM(C2:C3)</f>
        <v>0</v>
      </c>
      <c r="D4" s="6">
        <f>SUM(D2:D3)</f>
        <v>0</v>
      </c>
      <c r="E4" s="1"/>
      <c r="F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9ED1-967E-4597-A31A-FFAD07924A95}">
  <dimension ref="A1:F6"/>
  <sheetViews>
    <sheetView workbookViewId="0">
      <selection activeCell="D3" sqref="D3"/>
    </sheetView>
  </sheetViews>
  <sheetFormatPr defaultRowHeight="15" x14ac:dyDescent="0.25"/>
  <cols>
    <col min="1" max="1" width="21.85546875" bestFit="1" customWidth="1"/>
    <col min="2" max="2" width="16.5703125" bestFit="1" customWidth="1"/>
    <col min="3" max="3" width="26.140625" bestFit="1" customWidth="1"/>
    <col min="4" max="4" width="19.85546875" bestFit="1" customWidth="1"/>
    <col min="5" max="5" width="24.140625" bestFit="1" customWidth="1"/>
    <col min="6" max="6" width="30.42578125" bestFit="1" customWidth="1"/>
  </cols>
  <sheetData>
    <row r="1" spans="1:6" x14ac:dyDescent="0.25">
      <c r="A1" s="2" t="s">
        <v>49</v>
      </c>
      <c r="B1" s="2" t="s">
        <v>22</v>
      </c>
      <c r="C1" s="2" t="s">
        <v>76</v>
      </c>
      <c r="D1" s="2" t="s">
        <v>11</v>
      </c>
      <c r="E1" s="2" t="s">
        <v>2</v>
      </c>
      <c r="F1" s="2" t="s">
        <v>3</v>
      </c>
    </row>
    <row r="2" spans="1:6" x14ac:dyDescent="0.25">
      <c r="A2" s="1" t="s">
        <v>77</v>
      </c>
      <c r="B2" s="1" t="s">
        <v>116</v>
      </c>
      <c r="C2" s="1" t="s">
        <v>164</v>
      </c>
      <c r="D2" s="9">
        <f>(((Supuestos!$A$19*0.0265)+700)*1.19)*500</f>
        <v>8300250</v>
      </c>
      <c r="E2" s="13" t="s">
        <v>166</v>
      </c>
      <c r="F2" s="1" t="s">
        <v>117</v>
      </c>
    </row>
    <row r="3" spans="1:6" x14ac:dyDescent="0.25">
      <c r="A3" s="1" t="s">
        <v>78</v>
      </c>
      <c r="B3" s="1" t="s">
        <v>79</v>
      </c>
      <c r="C3" s="1" t="s">
        <v>157</v>
      </c>
      <c r="D3" s="9">
        <f>2013*Supuestos!$B$16</f>
        <v>8454600</v>
      </c>
      <c r="E3" s="13" t="s">
        <v>158</v>
      </c>
      <c r="F3" s="1" t="s">
        <v>80</v>
      </c>
    </row>
    <row r="4" spans="1:6" x14ac:dyDescent="0.25">
      <c r="A4" s="1" t="s">
        <v>81</v>
      </c>
      <c r="B4" s="1" t="s">
        <v>79</v>
      </c>
      <c r="C4" s="1" t="s">
        <v>160</v>
      </c>
      <c r="D4" s="9">
        <f>(0.025*100000)*Supuestos!$B$16</f>
        <v>10500000</v>
      </c>
      <c r="E4" s="13" t="s">
        <v>161</v>
      </c>
      <c r="F4" s="1" t="s">
        <v>82</v>
      </c>
    </row>
    <row r="5" spans="1:6" x14ac:dyDescent="0.25">
      <c r="A5" s="1" t="s">
        <v>83</v>
      </c>
      <c r="B5" s="1" t="s">
        <v>84</v>
      </c>
      <c r="C5" s="1" t="s">
        <v>162</v>
      </c>
      <c r="D5" s="9">
        <f>(0.005*100000)*Supuestos!$B$16</f>
        <v>2100000</v>
      </c>
      <c r="E5" s="13" t="s">
        <v>163</v>
      </c>
      <c r="F5" s="1" t="s">
        <v>118</v>
      </c>
    </row>
    <row r="6" spans="1:6" x14ac:dyDescent="0.25">
      <c r="A6" s="2" t="s">
        <v>85</v>
      </c>
      <c r="B6" s="1"/>
      <c r="C6" s="1"/>
      <c r="D6" s="9">
        <f>SUM(D2:D5)</f>
        <v>29354850</v>
      </c>
      <c r="E6" s="4"/>
      <c r="F6" s="1"/>
    </row>
  </sheetData>
  <hyperlinks>
    <hyperlink ref="E3" r:id="rId1" location="pay-as-you-go" xr:uid="{FE842FE8-AC67-4A95-978C-1AF806091A11}"/>
    <hyperlink ref="E4" r:id="rId2" xr:uid="{7872D07D-745B-4DB4-AAB2-DB21BA6CD3EE}"/>
    <hyperlink ref="E5" r:id="rId3" xr:uid="{7494805E-71A3-42BB-8D25-E49D28FDA92F}"/>
    <hyperlink ref="E2" r:id="rId4" xr:uid="{B4329381-209E-4E02-9ECA-D6C98D5EE9C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65F3-8D97-4236-A26F-2DAE5B41A512}">
  <dimension ref="A1:F12"/>
  <sheetViews>
    <sheetView workbookViewId="0">
      <selection activeCell="E21" sqref="E21"/>
    </sheetView>
  </sheetViews>
  <sheetFormatPr defaultRowHeight="15" x14ac:dyDescent="0.25"/>
  <cols>
    <col min="1" max="1" width="11.5703125" bestFit="1" customWidth="1"/>
    <col min="2" max="2" width="24.85546875" bestFit="1" customWidth="1"/>
    <col min="3" max="3" width="19.85546875" bestFit="1" customWidth="1"/>
    <col min="4" max="4" width="17.42578125" bestFit="1" customWidth="1"/>
    <col min="5" max="5" width="22.85546875" bestFit="1" customWidth="1"/>
    <col min="6" max="6" width="35" bestFit="1" customWidth="1"/>
  </cols>
  <sheetData>
    <row r="1" spans="1:6" x14ac:dyDescent="0.25">
      <c r="A1" s="2" t="s">
        <v>105</v>
      </c>
      <c r="B1" s="2" t="s">
        <v>31</v>
      </c>
      <c r="C1" s="2" t="s">
        <v>11</v>
      </c>
      <c r="D1" s="2" t="s">
        <v>12</v>
      </c>
      <c r="E1" s="2" t="s">
        <v>2</v>
      </c>
      <c r="F1" s="2" t="s">
        <v>3</v>
      </c>
    </row>
    <row r="2" spans="1:6" x14ac:dyDescent="0.25">
      <c r="A2" s="65" t="s">
        <v>32</v>
      </c>
      <c r="B2" s="1" t="s">
        <v>112</v>
      </c>
      <c r="C2" s="9">
        <v>8000000</v>
      </c>
      <c r="D2" s="9">
        <f>C2*12</f>
        <v>96000000</v>
      </c>
      <c r="E2" s="74" t="s">
        <v>6</v>
      </c>
      <c r="F2" s="1" t="s">
        <v>33</v>
      </c>
    </row>
    <row r="3" spans="1:6" x14ac:dyDescent="0.25">
      <c r="A3" s="66"/>
      <c r="B3" s="1" t="s">
        <v>34</v>
      </c>
      <c r="C3" s="9">
        <v>6600000</v>
      </c>
      <c r="D3" s="9">
        <f t="shared" ref="D3:D11" si="0">C3*12</f>
        <v>79200000</v>
      </c>
      <c r="E3" s="75"/>
      <c r="F3" s="1" t="s">
        <v>35</v>
      </c>
    </row>
    <row r="4" spans="1:6" x14ac:dyDescent="0.25">
      <c r="A4" s="66"/>
      <c r="B4" s="1" t="s">
        <v>36</v>
      </c>
      <c r="C4" s="9">
        <v>7100000</v>
      </c>
      <c r="D4" s="9">
        <f t="shared" si="0"/>
        <v>85200000</v>
      </c>
      <c r="E4" s="75"/>
      <c r="F4" s="1" t="s">
        <v>37</v>
      </c>
    </row>
    <row r="5" spans="1:6" x14ac:dyDescent="0.25">
      <c r="A5" s="66"/>
      <c r="B5" s="1" t="s">
        <v>38</v>
      </c>
      <c r="C5" s="9">
        <v>12300000</v>
      </c>
      <c r="D5" s="9">
        <f t="shared" si="0"/>
        <v>147600000</v>
      </c>
      <c r="E5" s="75"/>
      <c r="F5" s="1" t="s">
        <v>39</v>
      </c>
    </row>
    <row r="6" spans="1:6" x14ac:dyDescent="0.25">
      <c r="A6" s="66"/>
      <c r="B6" s="1" t="s">
        <v>40</v>
      </c>
      <c r="C6" s="9">
        <v>2600000</v>
      </c>
      <c r="D6" s="9">
        <f t="shared" si="0"/>
        <v>31200000</v>
      </c>
      <c r="E6" s="76"/>
      <c r="F6" s="1" t="s">
        <v>41</v>
      </c>
    </row>
    <row r="7" spans="1:6" x14ac:dyDescent="0.25">
      <c r="A7" s="66"/>
      <c r="B7" s="77" t="s">
        <v>42</v>
      </c>
      <c r="C7" s="9">
        <f>95000*5</f>
        <v>475000</v>
      </c>
      <c r="D7" s="9">
        <f t="shared" si="0"/>
        <v>5700000</v>
      </c>
      <c r="E7" s="15" t="s">
        <v>155</v>
      </c>
      <c r="F7" s="1" t="s">
        <v>154</v>
      </c>
    </row>
    <row r="8" spans="1:6" x14ac:dyDescent="0.25">
      <c r="A8" s="67"/>
      <c r="B8" s="78"/>
      <c r="C8" s="9">
        <f>180000*5</f>
        <v>900000</v>
      </c>
      <c r="D8" s="9">
        <f t="shared" si="0"/>
        <v>10800000</v>
      </c>
      <c r="E8" s="16" t="s">
        <v>156</v>
      </c>
      <c r="F8" s="1" t="s">
        <v>153</v>
      </c>
    </row>
    <row r="9" spans="1:6" ht="15" customHeight="1" x14ac:dyDescent="0.25">
      <c r="A9" s="65" t="s">
        <v>114</v>
      </c>
      <c r="B9" s="1" t="s">
        <v>43</v>
      </c>
      <c r="C9" s="9">
        <f>Cloud!$C$11</f>
        <v>2572542</v>
      </c>
      <c r="D9" s="9">
        <f t="shared" si="0"/>
        <v>30870504</v>
      </c>
      <c r="E9" s="16" t="s">
        <v>133</v>
      </c>
      <c r="F9" s="1" t="s">
        <v>44</v>
      </c>
    </row>
    <row r="10" spans="1:6" x14ac:dyDescent="0.25">
      <c r="A10" s="66"/>
      <c r="B10" s="1" t="s">
        <v>45</v>
      </c>
      <c r="C10" s="9">
        <v>3370000</v>
      </c>
      <c r="D10" s="9">
        <f t="shared" si="0"/>
        <v>40440000</v>
      </c>
      <c r="E10" s="17" t="s">
        <v>125</v>
      </c>
      <c r="F10" s="1" t="s">
        <v>115</v>
      </c>
    </row>
    <row r="11" spans="1:6" x14ac:dyDescent="0.25">
      <c r="A11" s="67"/>
      <c r="B11" s="1" t="s">
        <v>46</v>
      </c>
      <c r="C11" s="9">
        <f>Transaccional!$D$6</f>
        <v>29354850</v>
      </c>
      <c r="D11" s="9">
        <f t="shared" si="0"/>
        <v>352258200</v>
      </c>
      <c r="E11" s="16" t="s">
        <v>159</v>
      </c>
      <c r="F11" s="1" t="s">
        <v>47</v>
      </c>
    </row>
    <row r="12" spans="1:6" x14ac:dyDescent="0.25">
      <c r="A12" s="2" t="s">
        <v>48</v>
      </c>
      <c r="B12" s="1"/>
      <c r="C12" s="12">
        <f>SUM(C2:C11)</f>
        <v>73272392</v>
      </c>
      <c r="D12" s="12">
        <f>SUM(D2:D11)</f>
        <v>879268704</v>
      </c>
      <c r="E12" s="14"/>
      <c r="F12" s="1"/>
    </row>
  </sheetData>
  <mergeCells count="4">
    <mergeCell ref="A2:A8"/>
    <mergeCell ref="A9:A11"/>
    <mergeCell ref="E2:E6"/>
    <mergeCell ref="B7:B8"/>
  </mergeCells>
  <hyperlinks>
    <hyperlink ref="E2:E6" r:id="rId1" display="Payscale Colombia" xr:uid="{57920C47-0745-4E53-B349-27D42ED06DA0}"/>
    <hyperlink ref="E9" r:id="rId2" location="/addService" xr:uid="{1F8068DB-8455-4B53-B26A-1C334A0D45A3}"/>
    <hyperlink ref="E7" r:id="rId3" xr:uid="{EE06B418-4017-46A4-BF86-1D0B9E258E96}"/>
    <hyperlink ref="E8" r:id="rId4" xr:uid="{89440150-23C1-4552-A64D-14AF0A41423F}"/>
    <hyperlink ref="E10" r:id="rId5" xr:uid="{30A4B58B-8427-4EE5-BD6E-BF84243D3C1A}"/>
    <hyperlink ref="E11" location="Transaccional!A1" display="Transaccional" xr:uid="{6EB11F6D-C564-460C-B8B6-CA7CBDD9407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EE91-A59D-4642-901C-137C7C239893}">
  <dimension ref="A1:D52"/>
  <sheetViews>
    <sheetView topLeftCell="A34" zoomScaleNormal="100" workbookViewId="0">
      <selection activeCell="G22" sqref="G22"/>
    </sheetView>
  </sheetViews>
  <sheetFormatPr defaultRowHeight="15" x14ac:dyDescent="0.25"/>
  <cols>
    <col min="1" max="1" width="32.5703125" bestFit="1" customWidth="1"/>
    <col min="2" max="2" width="16.28515625" bestFit="1" customWidth="1"/>
    <col min="3" max="3" width="9.7109375" bestFit="1" customWidth="1"/>
    <col min="4" max="4" width="76.42578125" bestFit="1" customWidth="1"/>
  </cols>
  <sheetData>
    <row r="1" spans="1:4" x14ac:dyDescent="0.25">
      <c r="A1" s="84" t="s">
        <v>169</v>
      </c>
      <c r="B1" s="84"/>
      <c r="C1" s="84"/>
      <c r="D1" s="84"/>
    </row>
    <row r="2" spans="1:4" x14ac:dyDescent="0.25">
      <c r="A2" s="85"/>
      <c r="B2" s="85"/>
      <c r="C2" s="85"/>
      <c r="D2" s="85"/>
    </row>
    <row r="3" spans="1:4" x14ac:dyDescent="0.25">
      <c r="A3" s="2" t="s">
        <v>167</v>
      </c>
      <c r="B3" s="2" t="s">
        <v>86</v>
      </c>
      <c r="C3" s="2" t="s">
        <v>87</v>
      </c>
      <c r="D3" s="2" t="s">
        <v>168</v>
      </c>
    </row>
    <row r="5" spans="1:4" x14ac:dyDescent="0.25">
      <c r="A5" s="79" t="s">
        <v>170</v>
      </c>
      <c r="B5" s="79"/>
      <c r="C5" s="79"/>
      <c r="D5" s="79"/>
    </row>
    <row r="6" spans="1:4" x14ac:dyDescent="0.25">
      <c r="A6" s="25" t="s">
        <v>171</v>
      </c>
      <c r="B6" s="1">
        <v>180</v>
      </c>
      <c r="C6" s="26" t="s">
        <v>181</v>
      </c>
      <c r="D6" s="25" t="s">
        <v>182</v>
      </c>
    </row>
    <row r="7" spans="1:4" x14ac:dyDescent="0.25">
      <c r="A7" s="25" t="s">
        <v>172</v>
      </c>
      <c r="B7" s="1">
        <v>100</v>
      </c>
      <c r="C7" s="26" t="s">
        <v>181</v>
      </c>
      <c r="D7" s="25" t="s">
        <v>183</v>
      </c>
    </row>
    <row r="8" spans="1:4" x14ac:dyDescent="0.25">
      <c r="A8" s="25" t="s">
        <v>173</v>
      </c>
      <c r="B8" s="23">
        <v>0.15</v>
      </c>
      <c r="C8" s="26" t="s">
        <v>184</v>
      </c>
      <c r="D8" s="25" t="s">
        <v>185</v>
      </c>
    </row>
    <row r="9" spans="1:4" x14ac:dyDescent="0.25">
      <c r="A9" s="25" t="s">
        <v>179</v>
      </c>
      <c r="B9" s="23">
        <v>0.1</v>
      </c>
      <c r="C9" s="26" t="s">
        <v>90</v>
      </c>
      <c r="D9" s="25" t="s">
        <v>186</v>
      </c>
    </row>
    <row r="10" spans="1:4" x14ac:dyDescent="0.25">
      <c r="A10" s="25" t="s">
        <v>180</v>
      </c>
      <c r="B10" s="23">
        <v>0.02</v>
      </c>
      <c r="C10" s="26" t="s">
        <v>184</v>
      </c>
      <c r="D10" s="25" t="s">
        <v>187</v>
      </c>
    </row>
    <row r="11" spans="1:4" x14ac:dyDescent="0.25">
      <c r="A11" s="25" t="s">
        <v>174</v>
      </c>
      <c r="B11" s="23">
        <v>0.25</v>
      </c>
      <c r="C11" s="26" t="s">
        <v>184</v>
      </c>
      <c r="D11" s="25" t="s">
        <v>188</v>
      </c>
    </row>
    <row r="12" spans="1:4" x14ac:dyDescent="0.25">
      <c r="A12" s="25" t="s">
        <v>175</v>
      </c>
      <c r="B12" s="23">
        <v>0.08</v>
      </c>
      <c r="C12" s="26" t="s">
        <v>184</v>
      </c>
      <c r="D12" s="25" t="s">
        <v>191</v>
      </c>
    </row>
    <row r="13" spans="1:4" x14ac:dyDescent="0.25">
      <c r="A13" s="25" t="s">
        <v>176</v>
      </c>
      <c r="B13" s="23">
        <v>0.03</v>
      </c>
      <c r="C13" s="26" t="s">
        <v>184</v>
      </c>
      <c r="D13" s="25" t="s">
        <v>192</v>
      </c>
    </row>
    <row r="14" spans="1:4" x14ac:dyDescent="0.25">
      <c r="A14" s="25" t="s">
        <v>177</v>
      </c>
      <c r="B14" s="1">
        <v>0.5</v>
      </c>
      <c r="C14" s="26" t="s">
        <v>89</v>
      </c>
      <c r="D14" s="25" t="s">
        <v>189</v>
      </c>
    </row>
    <row r="15" spans="1:4" x14ac:dyDescent="0.25">
      <c r="A15" s="25" t="s">
        <v>178</v>
      </c>
      <c r="B15" s="1">
        <v>2</v>
      </c>
      <c r="C15" s="26" t="s">
        <v>89</v>
      </c>
      <c r="D15" s="25" t="s">
        <v>190</v>
      </c>
    </row>
    <row r="17" spans="1:4" x14ac:dyDescent="0.25">
      <c r="A17" s="79" t="s">
        <v>193</v>
      </c>
      <c r="B17" s="79"/>
      <c r="C17" s="79"/>
      <c r="D17" s="79"/>
    </row>
    <row r="18" spans="1:4" x14ac:dyDescent="0.25">
      <c r="A18" s="25" t="s">
        <v>194</v>
      </c>
      <c r="B18" s="1">
        <v>20</v>
      </c>
      <c r="C18" s="26" t="s">
        <v>199</v>
      </c>
      <c r="D18" s="25" t="s">
        <v>200</v>
      </c>
    </row>
    <row r="19" spans="1:4" x14ac:dyDescent="0.25">
      <c r="A19" s="25" t="s">
        <v>195</v>
      </c>
      <c r="B19" s="1">
        <v>200</v>
      </c>
      <c r="C19" s="26" t="s">
        <v>199</v>
      </c>
      <c r="D19" s="25" t="s">
        <v>201</v>
      </c>
    </row>
    <row r="20" spans="1:4" x14ac:dyDescent="0.25">
      <c r="A20" s="25" t="s">
        <v>196</v>
      </c>
      <c r="B20" s="1">
        <v>2</v>
      </c>
      <c r="C20" s="26" t="s">
        <v>202</v>
      </c>
      <c r="D20" s="25" t="s">
        <v>203</v>
      </c>
    </row>
    <row r="21" spans="1:4" x14ac:dyDescent="0.25">
      <c r="A21" s="25" t="s">
        <v>197</v>
      </c>
      <c r="B21" s="9">
        <v>1500000</v>
      </c>
      <c r="C21" s="26" t="s">
        <v>204</v>
      </c>
      <c r="D21" s="25" t="s">
        <v>207</v>
      </c>
    </row>
    <row r="22" spans="1:4" x14ac:dyDescent="0.25">
      <c r="A22" s="25" t="s">
        <v>198</v>
      </c>
      <c r="B22" s="9">
        <v>1260000</v>
      </c>
      <c r="C22" s="26" t="s">
        <v>205</v>
      </c>
      <c r="D22" s="25" t="s">
        <v>206</v>
      </c>
    </row>
    <row r="24" spans="1:4" x14ac:dyDescent="0.25">
      <c r="A24" s="80" t="s">
        <v>208</v>
      </c>
      <c r="B24" s="80"/>
      <c r="C24" s="80"/>
      <c r="D24" s="80"/>
    </row>
    <row r="25" spans="1:4" x14ac:dyDescent="0.25">
      <c r="A25" s="25" t="s">
        <v>209</v>
      </c>
      <c r="B25" s="9">
        <v>29900</v>
      </c>
      <c r="C25" s="26" t="s">
        <v>205</v>
      </c>
      <c r="D25" s="25" t="s">
        <v>226</v>
      </c>
    </row>
    <row r="26" spans="1:4" x14ac:dyDescent="0.25">
      <c r="A26" s="25" t="s">
        <v>210</v>
      </c>
      <c r="B26" s="9">
        <f>Supuestos!$A$19</f>
        <v>500000</v>
      </c>
      <c r="C26" s="26" t="s">
        <v>88</v>
      </c>
      <c r="D26" s="25" t="s">
        <v>217</v>
      </c>
    </row>
    <row r="27" spans="1:4" x14ac:dyDescent="0.25">
      <c r="A27" s="25" t="s">
        <v>211</v>
      </c>
      <c r="B27" s="24">
        <v>0.1</v>
      </c>
      <c r="C27" s="26" t="s">
        <v>90</v>
      </c>
      <c r="D27" s="25" t="s">
        <v>218</v>
      </c>
    </row>
    <row r="28" spans="1:4" x14ac:dyDescent="0.25">
      <c r="A28" s="25" t="s">
        <v>212</v>
      </c>
      <c r="B28" s="9">
        <f>(B26*0.0265)+700</f>
        <v>13950</v>
      </c>
      <c r="C28" s="26" t="s">
        <v>219</v>
      </c>
      <c r="D28" s="25" t="s">
        <v>227</v>
      </c>
    </row>
    <row r="29" spans="1:4" x14ac:dyDescent="0.25">
      <c r="A29" s="25" t="s">
        <v>213</v>
      </c>
      <c r="B29" s="9">
        <f>Supuestos!$A$19</f>
        <v>500000</v>
      </c>
      <c r="C29" s="26" t="s">
        <v>88</v>
      </c>
      <c r="D29" s="25" t="s">
        <v>220</v>
      </c>
    </row>
    <row r="30" spans="1:4" x14ac:dyDescent="0.25">
      <c r="A30" s="25" t="s">
        <v>214</v>
      </c>
      <c r="B30" s="1">
        <v>3</v>
      </c>
      <c r="C30" s="26" t="s">
        <v>221</v>
      </c>
      <c r="D30" s="25" t="s">
        <v>222</v>
      </c>
    </row>
    <row r="31" spans="1:4" x14ac:dyDescent="0.25">
      <c r="A31" s="25" t="s">
        <v>215</v>
      </c>
      <c r="B31" s="1">
        <v>2</v>
      </c>
      <c r="C31" s="26" t="s">
        <v>223</v>
      </c>
      <c r="D31" s="25" t="s">
        <v>224</v>
      </c>
    </row>
    <row r="32" spans="1:4" x14ac:dyDescent="0.25">
      <c r="A32" s="25" t="s">
        <v>216</v>
      </c>
      <c r="B32" s="1">
        <v>1</v>
      </c>
      <c r="C32" s="26" t="s">
        <v>223</v>
      </c>
      <c r="D32" s="25" t="s">
        <v>225</v>
      </c>
    </row>
    <row r="34" spans="1:4" x14ac:dyDescent="0.25">
      <c r="A34" s="79" t="s">
        <v>228</v>
      </c>
      <c r="B34" s="79"/>
      <c r="C34" s="79"/>
      <c r="D34" s="79"/>
    </row>
    <row r="35" spans="1:4" x14ac:dyDescent="0.25">
      <c r="A35" s="25" t="s">
        <v>229</v>
      </c>
      <c r="B35" s="9">
        <v>15000</v>
      </c>
      <c r="C35" s="26" t="s">
        <v>88</v>
      </c>
      <c r="D35" s="25" t="s">
        <v>234</v>
      </c>
    </row>
    <row r="36" spans="1:4" x14ac:dyDescent="0.25">
      <c r="A36" s="25" t="s">
        <v>230</v>
      </c>
      <c r="B36" s="9">
        <v>45000</v>
      </c>
      <c r="C36" s="26" t="s">
        <v>88</v>
      </c>
      <c r="D36" s="25" t="s">
        <v>232</v>
      </c>
    </row>
    <row r="37" spans="1:4" x14ac:dyDescent="0.25">
      <c r="A37" s="25" t="s">
        <v>231</v>
      </c>
      <c r="B37" s="9">
        <f>Supuestos!$A$19</f>
        <v>500000</v>
      </c>
      <c r="C37" s="26" t="s">
        <v>88</v>
      </c>
      <c r="D37" s="25" t="s">
        <v>233</v>
      </c>
    </row>
    <row r="39" spans="1:4" x14ac:dyDescent="0.25">
      <c r="A39" s="80" t="s">
        <v>235</v>
      </c>
      <c r="B39" s="80"/>
      <c r="C39" s="80"/>
      <c r="D39" s="80"/>
    </row>
    <row r="40" spans="1:4" x14ac:dyDescent="0.25">
      <c r="A40" s="25" t="s">
        <v>236</v>
      </c>
      <c r="B40" s="9">
        <f>SUM(OPEX!C2:'OPEX'!C8)</f>
        <v>37975000</v>
      </c>
      <c r="C40" s="26" t="s">
        <v>205</v>
      </c>
      <c r="D40" s="25" t="s">
        <v>240</v>
      </c>
    </row>
    <row r="41" spans="1:4" x14ac:dyDescent="0.25">
      <c r="A41" s="25" t="s">
        <v>246</v>
      </c>
      <c r="B41" s="9">
        <v>5472542</v>
      </c>
      <c r="C41" s="26" t="s">
        <v>205</v>
      </c>
      <c r="D41" s="25" t="s">
        <v>241</v>
      </c>
    </row>
    <row r="42" spans="1:4" x14ac:dyDescent="0.25">
      <c r="A42" s="25" t="s">
        <v>237</v>
      </c>
      <c r="B42" s="9">
        <v>3370000</v>
      </c>
      <c r="C42" s="26" t="s">
        <v>205</v>
      </c>
      <c r="D42" s="25" t="s">
        <v>242</v>
      </c>
    </row>
    <row r="43" spans="1:4" x14ac:dyDescent="0.25">
      <c r="A43" s="25" t="s">
        <v>238</v>
      </c>
      <c r="B43" s="9">
        <f>10000000</f>
        <v>10000000</v>
      </c>
      <c r="C43" s="26" t="s">
        <v>205</v>
      </c>
      <c r="D43" s="25" t="s">
        <v>243</v>
      </c>
    </row>
    <row r="44" spans="1:4" x14ac:dyDescent="0.25">
      <c r="A44" s="25" t="s">
        <v>239</v>
      </c>
      <c r="B44" s="9">
        <f>1000</f>
        <v>1000</v>
      </c>
      <c r="C44" s="26" t="s">
        <v>244</v>
      </c>
      <c r="D44" s="25" t="s">
        <v>245</v>
      </c>
    </row>
    <row r="46" spans="1:4" x14ac:dyDescent="0.25">
      <c r="A46" s="80" t="s">
        <v>247</v>
      </c>
      <c r="B46" s="80"/>
      <c r="C46" s="80"/>
      <c r="D46" s="80"/>
    </row>
    <row r="47" spans="1:4" x14ac:dyDescent="0.25">
      <c r="A47" s="25" t="s">
        <v>248</v>
      </c>
      <c r="B47" s="9">
        <f>CAPEX!$C$8</f>
        <v>218087168</v>
      </c>
      <c r="C47" s="26" t="s">
        <v>88</v>
      </c>
      <c r="D47" s="25" t="s">
        <v>250</v>
      </c>
    </row>
    <row r="48" spans="1:4" x14ac:dyDescent="0.25">
      <c r="A48" s="25" t="s">
        <v>249</v>
      </c>
      <c r="B48" s="1">
        <v>36</v>
      </c>
      <c r="C48" s="26" t="s">
        <v>251</v>
      </c>
      <c r="D48" s="25" t="s">
        <v>252</v>
      </c>
    </row>
    <row r="50" spans="1:4" x14ac:dyDescent="0.25">
      <c r="A50" s="81" t="s">
        <v>253</v>
      </c>
      <c r="B50" s="82"/>
      <c r="C50" s="82"/>
      <c r="D50" s="83"/>
    </row>
    <row r="51" spans="1:4" x14ac:dyDescent="0.25">
      <c r="A51" s="25" t="s">
        <v>254</v>
      </c>
      <c r="B51" s="9">
        <f>4200</f>
        <v>4200</v>
      </c>
      <c r="C51" s="26" t="s">
        <v>256</v>
      </c>
      <c r="D51" s="25" t="s">
        <v>257</v>
      </c>
    </row>
    <row r="52" spans="1:4" x14ac:dyDescent="0.25">
      <c r="A52" s="25" t="s">
        <v>255</v>
      </c>
      <c r="B52" s="22">
        <f>33%</f>
        <v>0.33</v>
      </c>
      <c r="C52" s="26" t="s">
        <v>90</v>
      </c>
      <c r="D52" s="25" t="s">
        <v>258</v>
      </c>
    </row>
  </sheetData>
  <mergeCells count="8">
    <mergeCell ref="A34:D34"/>
    <mergeCell ref="A39:D39"/>
    <mergeCell ref="A46:D46"/>
    <mergeCell ref="A50:D50"/>
    <mergeCell ref="A1:D2"/>
    <mergeCell ref="A5:D5"/>
    <mergeCell ref="A17:D17"/>
    <mergeCell ref="A24:D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37DB-6D80-4268-B929-47A180139088}">
  <dimension ref="A1:E33"/>
  <sheetViews>
    <sheetView workbookViewId="0">
      <selection activeCell="D41" sqref="D41"/>
    </sheetView>
  </sheetViews>
  <sheetFormatPr defaultRowHeight="15" x14ac:dyDescent="0.25"/>
  <cols>
    <col min="1" max="1" width="31.85546875" bestFit="1" customWidth="1"/>
    <col min="2" max="2" width="11.28515625" bestFit="1" customWidth="1"/>
    <col min="3" max="3" width="14.28515625" bestFit="1" customWidth="1"/>
    <col min="4" max="4" width="13.28515625" bestFit="1" customWidth="1"/>
    <col min="5" max="5" width="74" bestFit="1" customWidth="1"/>
  </cols>
  <sheetData>
    <row r="1" spans="1:5" x14ac:dyDescent="0.25">
      <c r="A1" s="86" t="s">
        <v>259</v>
      </c>
      <c r="B1" s="86"/>
      <c r="C1" s="86"/>
      <c r="D1" s="86"/>
      <c r="E1" s="86"/>
    </row>
    <row r="2" spans="1:5" x14ac:dyDescent="0.25">
      <c r="A2" s="2" t="s">
        <v>113</v>
      </c>
      <c r="B2" s="2" t="s">
        <v>260</v>
      </c>
      <c r="C2" s="2" t="s">
        <v>261</v>
      </c>
      <c r="D2" s="2" t="s">
        <v>262</v>
      </c>
      <c r="E2" s="2" t="s">
        <v>263</v>
      </c>
    </row>
    <row r="4" spans="1:5" x14ac:dyDescent="0.25">
      <c r="A4" s="87" t="s">
        <v>298</v>
      </c>
      <c r="B4" s="87"/>
      <c r="C4" s="87"/>
      <c r="D4" s="87"/>
      <c r="E4" s="87"/>
    </row>
    <row r="5" spans="1:5" x14ac:dyDescent="0.25">
      <c r="A5" s="25" t="s">
        <v>264</v>
      </c>
      <c r="B5" s="30">
        <f>Inputs!$B$14*Inputs!$B$26*Inputs!$B$27</f>
        <v>25000</v>
      </c>
      <c r="C5" s="30">
        <f>Inputs!$B$15*Inputs!$B$26*Inputs!$B$27</f>
        <v>100000</v>
      </c>
      <c r="D5" s="30">
        <v>0</v>
      </c>
      <c r="E5" s="25" t="s">
        <v>271</v>
      </c>
    </row>
    <row r="6" spans="1:5" x14ac:dyDescent="0.25">
      <c r="A6" s="25" t="s">
        <v>265</v>
      </c>
      <c r="B6" s="30">
        <v>0</v>
      </c>
      <c r="C6" s="30">
        <f>Inputs!$B$25</f>
        <v>29900</v>
      </c>
      <c r="D6" s="30">
        <v>0</v>
      </c>
      <c r="E6" s="25" t="s">
        <v>266</v>
      </c>
    </row>
    <row r="7" spans="1:5" x14ac:dyDescent="0.25">
      <c r="A7" s="25" t="s">
        <v>267</v>
      </c>
      <c r="B7" s="30">
        <v>0</v>
      </c>
      <c r="C7" s="30">
        <v>0</v>
      </c>
      <c r="D7" s="30">
        <f>Inputs!$B$29</f>
        <v>500000</v>
      </c>
      <c r="E7" s="25" t="s">
        <v>268</v>
      </c>
    </row>
    <row r="8" spans="1:5" x14ac:dyDescent="0.25">
      <c r="A8" s="25" t="s">
        <v>269</v>
      </c>
      <c r="B8" s="31">
        <f>SUM(B5:B7)</f>
        <v>25000</v>
      </c>
      <c r="C8" s="31">
        <f>SUM(C5:C7)</f>
        <v>129900</v>
      </c>
      <c r="D8" s="31">
        <f>SUM(D5:D7)</f>
        <v>500000</v>
      </c>
      <c r="E8" s="25" t="s">
        <v>270</v>
      </c>
    </row>
    <row r="10" spans="1:5" x14ac:dyDescent="0.25">
      <c r="A10" s="88" t="s">
        <v>297</v>
      </c>
      <c r="B10" s="62"/>
      <c r="C10" s="62"/>
      <c r="D10" s="62"/>
      <c r="E10" s="62"/>
    </row>
    <row r="11" spans="1:5" x14ac:dyDescent="0.25">
      <c r="A11" s="25" t="s">
        <v>272</v>
      </c>
      <c r="B11" s="30">
        <f>Inputs!$B$14*Inputs!$B$28</f>
        <v>6975</v>
      </c>
      <c r="C11" s="30">
        <f>Inputs!$B$15*Inputs!$B$28</f>
        <v>27900</v>
      </c>
      <c r="D11" s="30">
        <f>0</f>
        <v>0</v>
      </c>
      <c r="E11" s="25" t="s">
        <v>273</v>
      </c>
    </row>
    <row r="12" spans="1:5" x14ac:dyDescent="0.25">
      <c r="A12" s="25" t="s">
        <v>274</v>
      </c>
      <c r="B12" s="30">
        <f>Inputs!$B$18*Inputs!$B$20</f>
        <v>40</v>
      </c>
      <c r="C12" s="30">
        <f>Inputs!$B$19*Inputs!$B$20</f>
        <v>400</v>
      </c>
      <c r="D12" s="30">
        <f>Inputs!$B$19*Inputs!$B$20*2</f>
        <v>800</v>
      </c>
      <c r="E12" s="25" t="s">
        <v>275</v>
      </c>
    </row>
    <row r="13" spans="1:5" x14ac:dyDescent="0.25">
      <c r="A13" s="25" t="s">
        <v>276</v>
      </c>
      <c r="B13" s="30">
        <f>Inputs!$B$44</f>
        <v>1000</v>
      </c>
      <c r="C13" s="30">
        <f>Inputs!$B$44</f>
        <v>1000</v>
      </c>
      <c r="D13" s="30">
        <f>Inputs!$B$44*2</f>
        <v>2000</v>
      </c>
      <c r="E13" s="25" t="s">
        <v>277</v>
      </c>
    </row>
    <row r="14" spans="1:5" x14ac:dyDescent="0.25">
      <c r="A14" s="25" t="s">
        <v>278</v>
      </c>
      <c r="B14" s="31">
        <f>SUM(B11:B13)</f>
        <v>8015</v>
      </c>
      <c r="C14" s="31">
        <f>SUM(C11:C13)</f>
        <v>29300</v>
      </c>
      <c r="D14" s="31">
        <f>SUM(D11:D13)</f>
        <v>2800</v>
      </c>
      <c r="E14" s="25" t="s">
        <v>279</v>
      </c>
    </row>
    <row r="16" spans="1:5" x14ac:dyDescent="0.25">
      <c r="A16" s="88" t="s">
        <v>300</v>
      </c>
      <c r="B16" s="62"/>
      <c r="C16" s="62"/>
      <c r="D16" s="62"/>
      <c r="E16" s="62"/>
    </row>
    <row r="17" spans="1:5" x14ac:dyDescent="0.25">
      <c r="A17" s="25" t="s">
        <v>280</v>
      </c>
      <c r="B17" s="31">
        <f>B8-B14</f>
        <v>16985</v>
      </c>
      <c r="C17" s="31">
        <f>C8-C14</f>
        <v>100600</v>
      </c>
      <c r="D17" s="31">
        <f>D8-D14</f>
        <v>497200</v>
      </c>
      <c r="E17" s="25" t="s">
        <v>281</v>
      </c>
    </row>
    <row r="18" spans="1:5" x14ac:dyDescent="0.25">
      <c r="A18" s="25" t="s">
        <v>282</v>
      </c>
      <c r="B18" s="32">
        <f>IFERROR((B8-B14)/B8,0)</f>
        <v>0.6794</v>
      </c>
      <c r="C18" s="32">
        <f>IFERROR((C8-C14)/C8,0)</f>
        <v>0.7744418783679754</v>
      </c>
      <c r="D18" s="32">
        <f>IFERROR((D8-D14)/D8,0)</f>
        <v>0.99439999999999995</v>
      </c>
      <c r="E18" s="25" t="s">
        <v>283</v>
      </c>
    </row>
    <row r="20" spans="1:5" x14ac:dyDescent="0.25">
      <c r="A20" s="89" t="s">
        <v>301</v>
      </c>
      <c r="B20" s="90"/>
      <c r="C20" s="90"/>
      <c r="D20" s="90"/>
      <c r="E20" s="90"/>
    </row>
    <row r="21" spans="1:5" x14ac:dyDescent="0.25">
      <c r="A21" s="33" t="s">
        <v>284</v>
      </c>
      <c r="B21" s="30">
        <f>Inputs!$B$35</f>
        <v>15000</v>
      </c>
      <c r="C21" s="30">
        <f>Inputs!$B$36</f>
        <v>45000</v>
      </c>
      <c r="D21" s="30">
        <f>Inputs!$B$37</f>
        <v>500000</v>
      </c>
      <c r="E21" s="33" t="s">
        <v>285</v>
      </c>
    </row>
    <row r="22" spans="1:5" x14ac:dyDescent="0.25">
      <c r="A22" s="25" t="s">
        <v>286</v>
      </c>
      <c r="B22" s="32">
        <f>Inputs!$B$11</f>
        <v>0.25</v>
      </c>
      <c r="C22" s="32">
        <f>Inputs!$B$12</f>
        <v>0.08</v>
      </c>
      <c r="D22" s="32">
        <f>Inputs!$B$13</f>
        <v>0.03</v>
      </c>
      <c r="E22" s="25" t="s">
        <v>287</v>
      </c>
    </row>
    <row r="23" spans="1:5" x14ac:dyDescent="0.25">
      <c r="A23" s="25" t="s">
        <v>288</v>
      </c>
      <c r="B23" s="34">
        <f>IFERROR(1/Inputs!$B$11,0)</f>
        <v>4</v>
      </c>
      <c r="C23" s="34">
        <f>IFERROR(1/Inputs!$B$12,0)</f>
        <v>12.5</v>
      </c>
      <c r="D23" s="34">
        <f>IFERROR(1/Inputs!$B$13,0)</f>
        <v>33.333333333333336</v>
      </c>
      <c r="E23" s="25"/>
    </row>
    <row r="24" spans="1:5" x14ac:dyDescent="0.25">
      <c r="A24" s="25" t="s">
        <v>289</v>
      </c>
      <c r="B24" s="35">
        <f>B17*B23</f>
        <v>67940</v>
      </c>
      <c r="C24" s="35">
        <f>C17*C23</f>
        <v>1257500</v>
      </c>
      <c r="D24" s="35">
        <f>D17*D23</f>
        <v>16573333.333333334</v>
      </c>
      <c r="E24" s="25" t="s">
        <v>302</v>
      </c>
    </row>
    <row r="25" spans="1:5" x14ac:dyDescent="0.25">
      <c r="A25" s="25" t="s">
        <v>290</v>
      </c>
      <c r="B25" s="36">
        <f>IFERROR(B24/B21,0)</f>
        <v>4.5293333333333337</v>
      </c>
      <c r="C25" s="36">
        <f>IFERROR(C24/C21,0)</f>
        <v>27.944444444444443</v>
      </c>
      <c r="D25" s="36">
        <f>IFERROR(D24/D21,0)</f>
        <v>33.146666666666668</v>
      </c>
      <c r="E25" s="25" t="s">
        <v>291</v>
      </c>
    </row>
    <row r="26" spans="1:5" x14ac:dyDescent="0.25">
      <c r="A26" s="25" t="s">
        <v>292</v>
      </c>
      <c r="B26" s="34">
        <f>IFERROR(B21/B17,0)</f>
        <v>0.88313217544892553</v>
      </c>
      <c r="C26" s="34">
        <f>IFERROR(C21/C17,0)</f>
        <v>0.44731610337972166</v>
      </c>
      <c r="D26" s="34">
        <f>IFERROR(D21/D17,0)</f>
        <v>1.0056315366049879</v>
      </c>
      <c r="E26" s="25" t="s">
        <v>293</v>
      </c>
    </row>
    <row r="28" spans="1:5" x14ac:dyDescent="0.25">
      <c r="A28" s="61" t="s">
        <v>299</v>
      </c>
      <c r="B28" s="61"/>
      <c r="C28" s="61"/>
      <c r="D28" s="61"/>
      <c r="E28" s="27"/>
    </row>
    <row r="29" spans="1:5" x14ac:dyDescent="0.25">
      <c r="A29" s="25" t="s">
        <v>294</v>
      </c>
      <c r="B29" s="29" t="str">
        <f>IF(B17&gt;0,"SÍ","No")</f>
        <v>SÍ</v>
      </c>
      <c r="C29" s="29" t="str">
        <f>IF(C17&gt;0,"SÍ","No")</f>
        <v>SÍ</v>
      </c>
      <c r="D29" s="29" t="str">
        <f>IF(D17&gt;0,"SÍ","No")</f>
        <v>SÍ</v>
      </c>
    </row>
    <row r="30" spans="1:5" x14ac:dyDescent="0.25">
      <c r="A30" s="25" t="s">
        <v>295</v>
      </c>
      <c r="B30" s="29" t="str">
        <f>IF(B25&gt;=3,"SÍ","Revisar")</f>
        <v>SÍ</v>
      </c>
      <c r="C30" s="29" t="str">
        <f>IF(C25&gt;=3,"SÍ","Revisar")</f>
        <v>SÍ</v>
      </c>
      <c r="D30" s="29" t="str">
        <f>IF(D25&gt;=3,"SÍ","Revisar")</f>
        <v>SÍ</v>
      </c>
    </row>
    <row r="31" spans="1:5" x14ac:dyDescent="0.25">
      <c r="A31" s="25" t="s">
        <v>296</v>
      </c>
      <c r="B31" s="29" t="str">
        <f>IF(B26&lt;12,"SÍ","Revisar")</f>
        <v>SÍ</v>
      </c>
      <c r="C31" s="29" t="str">
        <f>IF(C26&lt;12,"SÍ","Revisar")</f>
        <v>SÍ</v>
      </c>
      <c r="D31" s="29" t="str">
        <f>IF(D26&lt;12,"SÍ","Revisar")</f>
        <v>SÍ</v>
      </c>
    </row>
    <row r="33" spans="1:1" x14ac:dyDescent="0.25">
      <c r="A33" s="43"/>
    </row>
  </sheetData>
  <mergeCells count="6">
    <mergeCell ref="A28:D28"/>
    <mergeCell ref="A1:E1"/>
    <mergeCell ref="A4:E4"/>
    <mergeCell ref="A10:E10"/>
    <mergeCell ref="A16:E16"/>
    <mergeCell ref="A20:E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7D67-D4B0-4095-B540-76C43E179462}">
  <dimension ref="A1:N41"/>
  <sheetViews>
    <sheetView workbookViewId="0">
      <selection activeCell="A35" sqref="A35:N35"/>
    </sheetView>
  </sheetViews>
  <sheetFormatPr defaultRowHeight="15" x14ac:dyDescent="0.25"/>
  <cols>
    <col min="1" max="1" width="36.7109375" style="27" bestFit="1" customWidth="1"/>
    <col min="2" max="12" width="15.7109375" style="27" bestFit="1" customWidth="1"/>
    <col min="13" max="13" width="15.5703125" style="27" bestFit="1" customWidth="1"/>
    <col min="14" max="14" width="16.7109375" style="27" bestFit="1" customWidth="1"/>
    <col min="15" max="16384" width="9.140625" style="27"/>
  </cols>
  <sheetData>
    <row r="1" spans="1:14" x14ac:dyDescent="0.25">
      <c r="A1" s="92" t="s">
        <v>345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3" spans="1:14" x14ac:dyDescent="0.25">
      <c r="A3" s="37" t="s">
        <v>303</v>
      </c>
      <c r="B3" s="37" t="s">
        <v>304</v>
      </c>
      <c r="C3" s="37" t="s">
        <v>305</v>
      </c>
      <c r="D3" s="37" t="s">
        <v>306</v>
      </c>
      <c r="E3" s="37" t="s">
        <v>307</v>
      </c>
      <c r="F3" s="37" t="s">
        <v>308</v>
      </c>
      <c r="G3" s="37" t="s">
        <v>309</v>
      </c>
      <c r="H3" s="37" t="s">
        <v>310</v>
      </c>
      <c r="I3" s="37" t="s">
        <v>311</v>
      </c>
      <c r="J3" s="37" t="s">
        <v>312</v>
      </c>
      <c r="K3" s="37" t="s">
        <v>313</v>
      </c>
      <c r="L3" s="37" t="s">
        <v>314</v>
      </c>
      <c r="M3" s="37" t="s">
        <v>315</v>
      </c>
      <c r="N3" s="37" t="s">
        <v>316</v>
      </c>
    </row>
    <row r="4" spans="1:14" x14ac:dyDescent="0.25">
      <c r="A4" s="93" t="s">
        <v>347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x14ac:dyDescent="0.25">
      <c r="A5" s="40" t="s">
        <v>317</v>
      </c>
      <c r="B5" s="41">
        <f>ROUND(Inputs!$B$7*(1+Inputs!$B$8)^0,0)</f>
        <v>100</v>
      </c>
      <c r="C5" s="41">
        <f>ROUND(Inputs!$B$7*(1+Inputs!$B$8)^1,0)</f>
        <v>115</v>
      </c>
      <c r="D5" s="41">
        <f>ROUND(Inputs!$B$7*(1+Inputs!$B$8)^2,0)</f>
        <v>132</v>
      </c>
      <c r="E5" s="41">
        <f>ROUND(Inputs!$B$7*(1+Inputs!$B$8)^3,0)</f>
        <v>152</v>
      </c>
      <c r="F5" s="41">
        <f>ROUND(Inputs!$B$7*(1+Inputs!$B$8)^4,0)</f>
        <v>175</v>
      </c>
      <c r="G5" s="41">
        <f>ROUND(Inputs!$B$7*(1+Inputs!$B$8)^5,0)</f>
        <v>201</v>
      </c>
      <c r="H5" s="41">
        <f>ROUND(Inputs!$B$7*(1+Inputs!$B$8)^6,0)</f>
        <v>231</v>
      </c>
      <c r="I5" s="41">
        <f>ROUND(Inputs!$B$7*(1+Inputs!$B$8)^7,0)</f>
        <v>266</v>
      </c>
      <c r="J5" s="41">
        <f>ROUND(Inputs!$B$7*(1+Inputs!$B$8)^8,0)</f>
        <v>306</v>
      </c>
      <c r="K5" s="41">
        <f>ROUND(Inputs!$B$7*(1+Inputs!$B$8)^9,0)</f>
        <v>352</v>
      </c>
      <c r="L5" s="41">
        <f>ROUND(Inputs!$B$7*(1+Inputs!$B$8)^10,0)</f>
        <v>405</v>
      </c>
      <c r="M5" s="41">
        <f>ROUND(Inputs!$B$7*(1+Inputs!$B$8)^11,0)</f>
        <v>465</v>
      </c>
      <c r="N5" s="41">
        <f t="shared" ref="N5:N10" si="0">SUM(B5:M5)</f>
        <v>2900</v>
      </c>
    </row>
    <row r="6" spans="1:14" x14ac:dyDescent="0.25">
      <c r="A6" s="40" t="s">
        <v>318</v>
      </c>
      <c r="B6" s="41">
        <f>ROUND((Inputs!$B$6*(1-Inputs!$B$9))+B5*(1-Inputs!$B$9),0)</f>
        <v>252</v>
      </c>
      <c r="C6" s="41">
        <f>ROUND(B6*(1-Inputs!$B$11-Inputs!$B$10)+C5*(1-Inputs!$B$9),0)</f>
        <v>287</v>
      </c>
      <c r="D6" s="41">
        <f>ROUND(C6*(1-Inputs!$B$11-Inputs!$B$10)+D5*(1-Inputs!$B$9),0)</f>
        <v>328</v>
      </c>
      <c r="E6" s="41">
        <f>ROUND(D6*(1-Inputs!$B$11-Inputs!$B$10)+E5*(1-Inputs!$B$9),0)</f>
        <v>376</v>
      </c>
      <c r="F6" s="41">
        <f>ROUND(E6*(1-Inputs!$B$11-Inputs!$B$10)+F5*(1-Inputs!$B$9),0)</f>
        <v>432</v>
      </c>
      <c r="G6" s="41">
        <f>ROUND(F6*(1-Inputs!$B$11-Inputs!$B$10)+G5*(1-Inputs!$B$9),0)</f>
        <v>496</v>
      </c>
      <c r="H6" s="41">
        <f>ROUND(G6*(1-Inputs!$B$11-Inputs!$B$10)+H5*(1-Inputs!$B$9),0)</f>
        <v>570</v>
      </c>
      <c r="I6" s="41">
        <f>ROUND(H6*(1-Inputs!$B$11-Inputs!$B$10)+I5*(1-Inputs!$B$9),0)</f>
        <v>656</v>
      </c>
      <c r="J6" s="41">
        <f>ROUND(I6*(1-Inputs!$B$11-Inputs!$B$10)+J5*(1-Inputs!$B$9),0)</f>
        <v>754</v>
      </c>
      <c r="K6" s="41">
        <f>ROUND(J6*(1-Inputs!$B$11-Inputs!$B$10)+K5*(1-Inputs!$B$9),0)</f>
        <v>867</v>
      </c>
      <c r="L6" s="41">
        <f>ROUND(K6*(1-Inputs!$B$11-Inputs!$B$10)+L5*(1-Inputs!$B$9),0)</f>
        <v>997</v>
      </c>
      <c r="M6" s="41">
        <f>ROUND(L6*(1-Inputs!$B$11-Inputs!$B$10)+M5*(1-Inputs!$B$9),0)</f>
        <v>1146</v>
      </c>
      <c r="N6" s="41">
        <f t="shared" si="0"/>
        <v>7161</v>
      </c>
    </row>
    <row r="7" spans="1:14" x14ac:dyDescent="0.25">
      <c r="A7" s="40" t="s">
        <v>319</v>
      </c>
      <c r="B7" s="41">
        <f>ROUND((Inputs!$B$6*Inputs!$B$9)+B5*Inputs!$B$9,0)</f>
        <v>28</v>
      </c>
      <c r="C7" s="41">
        <f>ROUND(B7*(1-Inputs!$B$12)+B6*Inputs!$B$10+C5*Inputs!$B$9,0)</f>
        <v>42</v>
      </c>
      <c r="D7" s="41">
        <f>ROUND(C7*(1-Inputs!$B$12)+C6*Inputs!$B$10+D5*Inputs!$B$9,0)</f>
        <v>58</v>
      </c>
      <c r="E7" s="41">
        <f>ROUND(D7*(1-Inputs!$B$12)+D6*Inputs!$B$10+E5*Inputs!$B$9,0)</f>
        <v>75</v>
      </c>
      <c r="F7" s="41">
        <f>ROUND(E7*(1-Inputs!$B$12)+E6*Inputs!$B$10+F5*Inputs!$B$9,0)</f>
        <v>94</v>
      </c>
      <c r="G7" s="41">
        <f>ROUND(F7*(1-Inputs!$B$12)+F6*Inputs!$B$10+G5*Inputs!$B$9,0)</f>
        <v>115</v>
      </c>
      <c r="H7" s="41">
        <f>ROUND(G7*(1-Inputs!$B$12)+G6*Inputs!$B$10+H5*Inputs!$B$9,0)</f>
        <v>139</v>
      </c>
      <c r="I7" s="41">
        <f>ROUND(H7*(1-Inputs!$B$12)+H6*Inputs!$B$10+I5*Inputs!$B$9,0)</f>
        <v>166</v>
      </c>
      <c r="J7" s="41">
        <f>ROUND(I7*(1-Inputs!$B$12)+I6*Inputs!$B$10+J5*Inputs!$B$9,0)</f>
        <v>196</v>
      </c>
      <c r="K7" s="41">
        <f>ROUND(J7*(1-Inputs!$B$12)+J6*Inputs!$B$10+K5*Inputs!$B$9,0)</f>
        <v>231</v>
      </c>
      <c r="L7" s="41">
        <f>ROUND(K7*(1-Inputs!$B$12)+K6*Inputs!$B$10+L5*Inputs!$B$9,0)</f>
        <v>270</v>
      </c>
      <c r="M7" s="41">
        <f>ROUND(L7*(1-Inputs!$B$12)+L6*Inputs!$B$10+M5*Inputs!$B$9,0)</f>
        <v>315</v>
      </c>
      <c r="N7" s="41">
        <f t="shared" si="0"/>
        <v>1729</v>
      </c>
    </row>
    <row r="8" spans="1:14" x14ac:dyDescent="0.25">
      <c r="A8" s="40" t="s">
        <v>320</v>
      </c>
      <c r="B8" s="41">
        <f>IF(1&gt;=Inputs!$B$30,Inputs!$B$31,0)</f>
        <v>0</v>
      </c>
      <c r="C8" s="41">
        <f>IF(2&gt;=Inputs!$B$30,ROUND(B8*(1-Inputs!$B$13)+IF(2=Inputs!$B$30,Inputs!$B$31,Inputs!$B$32),0),0)</f>
        <v>0</v>
      </c>
      <c r="D8" s="41">
        <f>IF(3&gt;=Inputs!$B$30,ROUND(C8*(1-Inputs!$B$13)+IF(3=Inputs!$B$30,Inputs!$B$31,Inputs!$B$32),0),0)</f>
        <v>2</v>
      </c>
      <c r="E8" s="41">
        <f>IF(4&gt;=Inputs!$B$30,ROUND(D8*(1-Inputs!$B$13)+IF(4=Inputs!$B$30,Inputs!$B$31,Inputs!$B$32),0),0)</f>
        <v>3</v>
      </c>
      <c r="F8" s="41">
        <f>IF(5&gt;=Inputs!$B$30,ROUND(E8*(1-Inputs!$B$13)+IF(5=Inputs!$B$30,Inputs!$B$31,Inputs!$B$32),0),0)</f>
        <v>4</v>
      </c>
      <c r="G8" s="41">
        <f>IF(6&gt;=Inputs!$B$30,ROUND(F8*(1-Inputs!$B$13)+IF(6=Inputs!$B$30,Inputs!$B$31,Inputs!$B$32),0),0)</f>
        <v>5</v>
      </c>
      <c r="H8" s="41">
        <f>IF(7&gt;=Inputs!$B$30,ROUND(G8*(1-Inputs!$B$13)+IF(7=Inputs!$B$30,Inputs!$B$31,Inputs!$B$32),0),0)</f>
        <v>6</v>
      </c>
      <c r="I8" s="41">
        <f>IF(8&gt;=Inputs!$B$30,ROUND(H8*(1-Inputs!$B$13)+IF(8=Inputs!$B$30,Inputs!$B$31,Inputs!$B$32),0),0)</f>
        <v>7</v>
      </c>
      <c r="J8" s="41">
        <f>IF(9&gt;=Inputs!$B$30,ROUND(I8*(1-Inputs!$B$13)+IF(9=Inputs!$B$30,Inputs!$B$31,Inputs!$B$32),0),0)</f>
        <v>8</v>
      </c>
      <c r="K8" s="41">
        <f>IF(10&gt;=Inputs!$B$30,ROUND(J8*(1-Inputs!$B$13)+IF(10=Inputs!$B$30,Inputs!$B$31,Inputs!$B$32),0),0)</f>
        <v>9</v>
      </c>
      <c r="L8" s="41">
        <f>IF(11&gt;=Inputs!$B$30,ROUND(K8*(1-Inputs!$B$13)+IF(11=Inputs!$B$30,Inputs!$B$31,Inputs!$B$32),0),0)</f>
        <v>10</v>
      </c>
      <c r="M8" s="41">
        <f>IF(12&gt;=Inputs!$B$30,ROUND(L8*(1-Inputs!$B$13)+IF(12=Inputs!$B$30,Inputs!$B$31,Inputs!$B$32),0),0)</f>
        <v>11</v>
      </c>
      <c r="N8" s="41">
        <f t="shared" si="0"/>
        <v>65</v>
      </c>
    </row>
    <row r="9" spans="1:14" x14ac:dyDescent="0.25">
      <c r="A9" s="40" t="s">
        <v>321</v>
      </c>
      <c r="B9" s="41">
        <f>IF(1&gt;=Inputs!$B$30,Inputs!$B$31,0)</f>
        <v>0</v>
      </c>
      <c r="C9" s="41">
        <f>IF(2=Inputs!$B$30,Inputs!$B$31,IF(2&gt;Inputs!$B$30,Inputs!$B$32,0))</f>
        <v>0</v>
      </c>
      <c r="D9" s="41">
        <f>IF(3=Inputs!$B$30,Inputs!$B$31,IF(3&gt;Inputs!$B$30,Inputs!$B$32,0))</f>
        <v>2</v>
      </c>
      <c r="E9" s="41">
        <f>IF(4=Inputs!$B$30,Inputs!$B$31,IF(4&gt;Inputs!$B$30,Inputs!$B$32,0))</f>
        <v>1</v>
      </c>
      <c r="F9" s="41">
        <f>IF(5=Inputs!$B$30,Inputs!$B$31,IF(5&gt;Inputs!$B$30,Inputs!$B$32,0))</f>
        <v>1</v>
      </c>
      <c r="G9" s="41">
        <f>IF(6=Inputs!$B$30,Inputs!$B$31,IF(6&gt;Inputs!$B$30,Inputs!$B$32,0))</f>
        <v>1</v>
      </c>
      <c r="H9" s="41">
        <f>IF(7=Inputs!$B$30,Inputs!$B$31,IF(7&gt;Inputs!$B$30,Inputs!$B$32,0))</f>
        <v>1</v>
      </c>
      <c r="I9" s="41">
        <f>IF(8=Inputs!$B$30,Inputs!$B$31,IF(8&gt;Inputs!$B$30,Inputs!$B$32,0))</f>
        <v>1</v>
      </c>
      <c r="J9" s="41">
        <f>IF(9=Inputs!$B$30,Inputs!$B$31,IF(9&gt;Inputs!$B$30,Inputs!$B$32,0))</f>
        <v>1</v>
      </c>
      <c r="K9" s="41">
        <f>IF(10=Inputs!$B$30,Inputs!$B$31,IF(10&gt;Inputs!$B$30,Inputs!$B$32,0))</f>
        <v>1</v>
      </c>
      <c r="L9" s="41">
        <f>IF(11=Inputs!$B$30,Inputs!$B$31,IF(11&gt;Inputs!$B$30,Inputs!$B$32,0))</f>
        <v>1</v>
      </c>
      <c r="M9" s="41">
        <f>IF(12=Inputs!$B$30,Inputs!$B$31,IF(12&gt;Inputs!$B$30,Inputs!$B$32,0))</f>
        <v>1</v>
      </c>
      <c r="N9" s="41">
        <f t="shared" si="0"/>
        <v>11</v>
      </c>
    </row>
    <row r="10" spans="1:14" x14ac:dyDescent="0.25">
      <c r="A10" s="38" t="s">
        <v>322</v>
      </c>
      <c r="B10" s="41">
        <f t="shared" ref="B10:M10" si="1">B6+B7</f>
        <v>280</v>
      </c>
      <c r="C10" s="41">
        <f t="shared" si="1"/>
        <v>329</v>
      </c>
      <c r="D10" s="41">
        <f t="shared" si="1"/>
        <v>386</v>
      </c>
      <c r="E10" s="41">
        <f t="shared" si="1"/>
        <v>451</v>
      </c>
      <c r="F10" s="41">
        <f t="shared" si="1"/>
        <v>526</v>
      </c>
      <c r="G10" s="41">
        <f t="shared" si="1"/>
        <v>611</v>
      </c>
      <c r="H10" s="41">
        <f t="shared" si="1"/>
        <v>709</v>
      </c>
      <c r="I10" s="41">
        <f t="shared" si="1"/>
        <v>822</v>
      </c>
      <c r="J10" s="41">
        <f t="shared" si="1"/>
        <v>950</v>
      </c>
      <c r="K10" s="41">
        <f t="shared" si="1"/>
        <v>1098</v>
      </c>
      <c r="L10" s="41">
        <f t="shared" si="1"/>
        <v>1267</v>
      </c>
      <c r="M10" s="41">
        <f t="shared" si="1"/>
        <v>1461</v>
      </c>
      <c r="N10" s="41">
        <f t="shared" si="0"/>
        <v>8890</v>
      </c>
    </row>
    <row r="12" spans="1:14" x14ac:dyDescent="0.25">
      <c r="A12" s="93" t="s">
        <v>346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</row>
    <row r="13" spans="1:14" x14ac:dyDescent="0.25">
      <c r="A13" s="40" t="s">
        <v>323</v>
      </c>
      <c r="B13" s="44">
        <f>B6*Inputs!$B$14*Inputs!$B$26*Inputs!$B$27</f>
        <v>6300000</v>
      </c>
      <c r="C13" s="44">
        <f>C6*Inputs!$B$14*Inputs!$B$26*Inputs!$B$27</f>
        <v>7175000</v>
      </c>
      <c r="D13" s="44">
        <f>D6*Inputs!$B$14*Inputs!$B$26*Inputs!$B$27</f>
        <v>8200000</v>
      </c>
      <c r="E13" s="44">
        <f>E6*Inputs!$B$14*Inputs!$B$26*Inputs!$B$27</f>
        <v>9400000</v>
      </c>
      <c r="F13" s="44">
        <f>F6*Inputs!$B$14*Inputs!$B$26*Inputs!$B$27</f>
        <v>10800000</v>
      </c>
      <c r="G13" s="44">
        <f>G6*Inputs!$B$14*Inputs!$B$26*Inputs!$B$27</f>
        <v>12400000</v>
      </c>
      <c r="H13" s="44">
        <f>H6*Inputs!$B$14*Inputs!$B$26*Inputs!$B$27</f>
        <v>14250000</v>
      </c>
      <c r="I13" s="44">
        <f>I6*Inputs!$B$14*Inputs!$B$26*Inputs!$B$27</f>
        <v>16400000</v>
      </c>
      <c r="J13" s="44">
        <f>J6*Inputs!$B$14*Inputs!$B$26*Inputs!$B$27</f>
        <v>18850000</v>
      </c>
      <c r="K13" s="44">
        <f>K6*Inputs!$B$14*Inputs!$B$26*Inputs!$B$27</f>
        <v>21675000</v>
      </c>
      <c r="L13" s="44">
        <f>L6*Inputs!$B$14*Inputs!$B$26*Inputs!$B$27</f>
        <v>24925000</v>
      </c>
      <c r="M13" s="44">
        <f>M6*Inputs!$B$14*Inputs!$B$26*Inputs!$B$27</f>
        <v>28650000</v>
      </c>
      <c r="N13" s="44">
        <f>SUM(B13:M13)</f>
        <v>179025000</v>
      </c>
    </row>
    <row r="14" spans="1:14" x14ac:dyDescent="0.25">
      <c r="A14" s="40" t="s">
        <v>324</v>
      </c>
      <c r="B14" s="44">
        <f>B7*Inputs!$B$15*Inputs!$B$26*Inputs!$B$27</f>
        <v>2800000</v>
      </c>
      <c r="C14" s="44">
        <f>C7*Inputs!$B$15*Inputs!$B$26*Inputs!$B$27</f>
        <v>4200000</v>
      </c>
      <c r="D14" s="44">
        <f>D7*Inputs!$B$15*Inputs!$B$26*Inputs!$B$27</f>
        <v>5800000</v>
      </c>
      <c r="E14" s="44">
        <f>E7*Inputs!$B$15*Inputs!$B$26*Inputs!$B$27</f>
        <v>7500000</v>
      </c>
      <c r="F14" s="44">
        <f>F7*Inputs!$B$15*Inputs!$B$26*Inputs!$B$27</f>
        <v>9400000</v>
      </c>
      <c r="G14" s="44">
        <f>G7*Inputs!$B$15*Inputs!$B$26*Inputs!$B$27</f>
        <v>11500000</v>
      </c>
      <c r="H14" s="44">
        <f>H7*Inputs!$B$15*Inputs!$B$26*Inputs!$B$27</f>
        <v>13900000</v>
      </c>
      <c r="I14" s="44">
        <f>I7*Inputs!$B$15*Inputs!$B$26*Inputs!$B$27</f>
        <v>16600000</v>
      </c>
      <c r="J14" s="44">
        <f>J7*Inputs!$B$15*Inputs!$B$26*Inputs!$B$27</f>
        <v>19600000</v>
      </c>
      <c r="K14" s="44">
        <f>K7*Inputs!$B$15*Inputs!$B$26*Inputs!$B$27</f>
        <v>23100000</v>
      </c>
      <c r="L14" s="44">
        <f>L7*Inputs!$B$15*Inputs!$B$26*Inputs!$B$27</f>
        <v>27000000</v>
      </c>
      <c r="M14" s="44">
        <f>M7*Inputs!$B$15*Inputs!$B$26*Inputs!$B$27</f>
        <v>31500000</v>
      </c>
      <c r="N14" s="44">
        <f>SUM(B14:M14)</f>
        <v>172900000</v>
      </c>
    </row>
    <row r="15" spans="1:14" x14ac:dyDescent="0.25">
      <c r="A15" s="40" t="s">
        <v>325</v>
      </c>
      <c r="B15" s="44">
        <f>B7*Inputs!$B$25</f>
        <v>837200</v>
      </c>
      <c r="C15" s="44">
        <f>C7*Inputs!$B$25</f>
        <v>1255800</v>
      </c>
      <c r="D15" s="44">
        <f>D7*Inputs!$B$25</f>
        <v>1734200</v>
      </c>
      <c r="E15" s="44">
        <f>E7*Inputs!$B$25</f>
        <v>2242500</v>
      </c>
      <c r="F15" s="44">
        <f>F7*Inputs!$B$25</f>
        <v>2810600</v>
      </c>
      <c r="G15" s="44">
        <f>G7*Inputs!$B$25</f>
        <v>3438500</v>
      </c>
      <c r="H15" s="44">
        <f>H7*Inputs!$B$25</f>
        <v>4156100</v>
      </c>
      <c r="I15" s="44">
        <f>I7*Inputs!$B$25</f>
        <v>4963400</v>
      </c>
      <c r="J15" s="44">
        <f>J7*Inputs!$B$25</f>
        <v>5860400</v>
      </c>
      <c r="K15" s="44">
        <f>K7*Inputs!$B$25</f>
        <v>6906900</v>
      </c>
      <c r="L15" s="44">
        <f>L7*Inputs!$B$25</f>
        <v>8073000</v>
      </c>
      <c r="M15" s="44">
        <f>M7*Inputs!$B$25</f>
        <v>9418500</v>
      </c>
      <c r="N15" s="44">
        <f>SUM(B15:M15)</f>
        <v>51697100</v>
      </c>
    </row>
    <row r="16" spans="1:14" x14ac:dyDescent="0.25">
      <c r="A16" s="40" t="s">
        <v>326</v>
      </c>
      <c r="B16" s="44">
        <f>B8*Inputs!$B$29</f>
        <v>0</v>
      </c>
      <c r="C16" s="44">
        <f>C8*Inputs!$B$29</f>
        <v>0</v>
      </c>
      <c r="D16" s="44">
        <f>D8*Inputs!$B$29</f>
        <v>1000000</v>
      </c>
      <c r="E16" s="44">
        <f>E8*Inputs!$B$29</f>
        <v>1500000</v>
      </c>
      <c r="F16" s="44">
        <f>F8*Inputs!$B$29</f>
        <v>2000000</v>
      </c>
      <c r="G16" s="44">
        <f>G8*Inputs!$B$29</f>
        <v>2500000</v>
      </c>
      <c r="H16" s="44">
        <f>H8*Inputs!$B$29</f>
        <v>3000000</v>
      </c>
      <c r="I16" s="44">
        <f>I8*Inputs!$B$29</f>
        <v>3500000</v>
      </c>
      <c r="J16" s="44">
        <f>J8*Inputs!$B$29</f>
        <v>4000000</v>
      </c>
      <c r="K16" s="44">
        <f>K8*Inputs!$B$29</f>
        <v>4500000</v>
      </c>
      <c r="L16" s="44">
        <f>L8*Inputs!$B$29</f>
        <v>5000000</v>
      </c>
      <c r="M16" s="44">
        <f>M8*Inputs!$B$29</f>
        <v>5500000</v>
      </c>
      <c r="N16" s="44">
        <f>SUM(B16:M16)</f>
        <v>32500000</v>
      </c>
    </row>
    <row r="17" spans="1:14" x14ac:dyDescent="0.25">
      <c r="A17" s="28" t="s">
        <v>327</v>
      </c>
      <c r="B17" s="44">
        <f t="shared" ref="B17:M17" si="2">SUM(B13:B16)</f>
        <v>9937200</v>
      </c>
      <c r="C17" s="44">
        <f t="shared" si="2"/>
        <v>12630800</v>
      </c>
      <c r="D17" s="44">
        <f t="shared" si="2"/>
        <v>16734200</v>
      </c>
      <c r="E17" s="44">
        <f t="shared" si="2"/>
        <v>20642500</v>
      </c>
      <c r="F17" s="44">
        <f t="shared" si="2"/>
        <v>25010600</v>
      </c>
      <c r="G17" s="44">
        <f t="shared" si="2"/>
        <v>29838500</v>
      </c>
      <c r="H17" s="44">
        <f t="shared" si="2"/>
        <v>35306100</v>
      </c>
      <c r="I17" s="44">
        <f t="shared" si="2"/>
        <v>41463400</v>
      </c>
      <c r="J17" s="44">
        <f t="shared" si="2"/>
        <v>48310400</v>
      </c>
      <c r="K17" s="44">
        <f t="shared" si="2"/>
        <v>56181900</v>
      </c>
      <c r="L17" s="44">
        <f t="shared" si="2"/>
        <v>64998000</v>
      </c>
      <c r="M17" s="44">
        <f t="shared" si="2"/>
        <v>75068500</v>
      </c>
      <c r="N17" s="44">
        <f>SUM(B17:M17)</f>
        <v>436122100</v>
      </c>
    </row>
    <row r="19" spans="1:14" x14ac:dyDescent="0.25">
      <c r="A19" s="91" t="s">
        <v>348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</row>
    <row r="20" spans="1:14" x14ac:dyDescent="0.25">
      <c r="A20" s="40" t="s">
        <v>328</v>
      </c>
      <c r="B20" s="44">
        <f>(B6*Inputs!$B$14+B7*Inputs!$B$15)*Inputs!$B$28</f>
        <v>2538900</v>
      </c>
      <c r="C20" s="44">
        <f>(C6*Inputs!$B$14+C7*Inputs!$B$15)*Inputs!$B$28</f>
        <v>3173625</v>
      </c>
      <c r="D20" s="44">
        <f>(D6*Inputs!$B$14+D7*Inputs!$B$15)*Inputs!$B$28</f>
        <v>3906000</v>
      </c>
      <c r="E20" s="44">
        <f>(E6*Inputs!$B$14+E7*Inputs!$B$15)*Inputs!$B$28</f>
        <v>4715100</v>
      </c>
      <c r="F20" s="44">
        <f>(F6*Inputs!$B$14+F7*Inputs!$B$15)*Inputs!$B$28</f>
        <v>5635800</v>
      </c>
      <c r="G20" s="44">
        <f>(G6*Inputs!$B$14+G7*Inputs!$B$15)*Inputs!$B$28</f>
        <v>6668100</v>
      </c>
      <c r="H20" s="44">
        <f>(H6*Inputs!$B$14+H7*Inputs!$B$15)*Inputs!$B$28</f>
        <v>7853850</v>
      </c>
      <c r="I20" s="44">
        <f>(I6*Inputs!$B$14+I7*Inputs!$B$15)*Inputs!$B$28</f>
        <v>9207000</v>
      </c>
      <c r="J20" s="44">
        <f>(J6*Inputs!$B$14+J7*Inputs!$B$15)*Inputs!$B$28</f>
        <v>10727550</v>
      </c>
      <c r="K20" s="44">
        <f>(K6*Inputs!$B$14+K7*Inputs!$B$15)*Inputs!$B$28</f>
        <v>12492225</v>
      </c>
      <c r="L20" s="44">
        <f>(L6*Inputs!$B$14+L7*Inputs!$B$15)*Inputs!$B$28</f>
        <v>14487075</v>
      </c>
      <c r="M20" s="44">
        <f>(M6*Inputs!$B$14+M7*Inputs!$B$15)*Inputs!$B$28</f>
        <v>16781850</v>
      </c>
      <c r="N20" s="44">
        <f>SUM(B20:M20)</f>
        <v>98187075</v>
      </c>
    </row>
    <row r="21" spans="1:14" x14ac:dyDescent="0.25">
      <c r="A21" s="40" t="s">
        <v>329</v>
      </c>
      <c r="B21" s="44">
        <f>(B6*Inputs!$B$18+B7*Inputs!$B$19)*Inputs!$B$20</f>
        <v>21280</v>
      </c>
      <c r="C21" s="44">
        <f>(C6*Inputs!$B$18+C7*Inputs!$B$19)*Inputs!$B$20</f>
        <v>28280</v>
      </c>
      <c r="D21" s="44">
        <f>(D6*Inputs!$B$18+D7*Inputs!$B$19)*Inputs!$B$20</f>
        <v>36320</v>
      </c>
      <c r="E21" s="44">
        <f>(E6*Inputs!$B$18+E7*Inputs!$B$19)*Inputs!$B$20</f>
        <v>45040</v>
      </c>
      <c r="F21" s="44">
        <f>(F6*Inputs!$B$18+F7*Inputs!$B$19)*Inputs!$B$20</f>
        <v>54880</v>
      </c>
      <c r="G21" s="44">
        <f>(G6*Inputs!$B$18+G7*Inputs!$B$19)*Inputs!$B$20</f>
        <v>65840</v>
      </c>
      <c r="H21" s="44">
        <f>(H6*Inputs!$B$18+H7*Inputs!$B$19)*Inputs!$B$20</f>
        <v>78400</v>
      </c>
      <c r="I21" s="44">
        <f>(I6*Inputs!$B$18+I7*Inputs!$B$19)*Inputs!$B$20</f>
        <v>92640</v>
      </c>
      <c r="J21" s="44">
        <f>(J6*Inputs!$B$18+J7*Inputs!$B$19)*Inputs!$B$20</f>
        <v>108560</v>
      </c>
      <c r="K21" s="44">
        <f>(K6*Inputs!$B$18+K7*Inputs!$B$19)*Inputs!$B$20</f>
        <v>127080</v>
      </c>
      <c r="L21" s="44">
        <f>(L6*Inputs!$B$18+L7*Inputs!$B$19)*Inputs!$B$20</f>
        <v>147880</v>
      </c>
      <c r="M21" s="44">
        <f>(M6*Inputs!$B$18+M7*Inputs!$B$19)*Inputs!$B$20</f>
        <v>171840</v>
      </c>
      <c r="N21" s="44">
        <f>SUM(B21:M21)</f>
        <v>978040</v>
      </c>
    </row>
    <row r="22" spans="1:14" x14ac:dyDescent="0.25">
      <c r="A22" s="40" t="s">
        <v>330</v>
      </c>
      <c r="B22" s="44">
        <f>B10*Inputs!$B$44</f>
        <v>280000</v>
      </c>
      <c r="C22" s="44">
        <f>C10*Inputs!$B$44</f>
        <v>329000</v>
      </c>
      <c r="D22" s="44">
        <f>D10*Inputs!$B$44</f>
        <v>386000</v>
      </c>
      <c r="E22" s="44">
        <f>E10*Inputs!$B$44</f>
        <v>451000</v>
      </c>
      <c r="F22" s="44">
        <f>F10*Inputs!$B$44</f>
        <v>526000</v>
      </c>
      <c r="G22" s="44">
        <f>G10*Inputs!$B$44</f>
        <v>611000</v>
      </c>
      <c r="H22" s="44">
        <f>H10*Inputs!$B$44</f>
        <v>709000</v>
      </c>
      <c r="I22" s="44">
        <f>I10*Inputs!$B$44</f>
        <v>822000</v>
      </c>
      <c r="J22" s="44">
        <f>J10*Inputs!$B$44</f>
        <v>950000</v>
      </c>
      <c r="K22" s="44">
        <f>K10*Inputs!$B$44</f>
        <v>1098000</v>
      </c>
      <c r="L22" s="44">
        <f>L10*Inputs!$B$44</f>
        <v>1267000</v>
      </c>
      <c r="M22" s="44">
        <f>M10*Inputs!$B$44</f>
        <v>1461000</v>
      </c>
      <c r="N22" s="44">
        <f>N10*Inputs!$B$44</f>
        <v>8890000</v>
      </c>
    </row>
    <row r="23" spans="1:14" x14ac:dyDescent="0.25">
      <c r="A23" s="38" t="s">
        <v>331</v>
      </c>
      <c r="B23" s="44">
        <f t="shared" ref="B23:M23" si="3">SUM(B20:B22)</f>
        <v>2840180</v>
      </c>
      <c r="C23" s="44">
        <f t="shared" si="3"/>
        <v>3530905</v>
      </c>
      <c r="D23" s="44">
        <f t="shared" si="3"/>
        <v>4328320</v>
      </c>
      <c r="E23" s="44">
        <f t="shared" si="3"/>
        <v>5211140</v>
      </c>
      <c r="F23" s="44">
        <f t="shared" si="3"/>
        <v>6216680</v>
      </c>
      <c r="G23" s="44">
        <f t="shared" si="3"/>
        <v>7344940</v>
      </c>
      <c r="H23" s="44">
        <f t="shared" si="3"/>
        <v>8641250</v>
      </c>
      <c r="I23" s="44">
        <f t="shared" si="3"/>
        <v>10121640</v>
      </c>
      <c r="J23" s="44">
        <f t="shared" si="3"/>
        <v>11786110</v>
      </c>
      <c r="K23" s="44">
        <f t="shared" si="3"/>
        <v>13717305</v>
      </c>
      <c r="L23" s="44">
        <f t="shared" si="3"/>
        <v>15901955</v>
      </c>
      <c r="M23" s="44">
        <f t="shared" si="3"/>
        <v>18414690</v>
      </c>
      <c r="N23" s="44">
        <f>SUM(B23:M23)</f>
        <v>108055115</v>
      </c>
    </row>
    <row r="24" spans="1:14" x14ac:dyDescent="0.25">
      <c r="A24" s="93" t="s">
        <v>332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4" x14ac:dyDescent="0.25">
      <c r="A25" s="38" t="s">
        <v>332</v>
      </c>
      <c r="B25" s="44">
        <f t="shared" ref="B25:M25" si="4">B17-B23</f>
        <v>7097020</v>
      </c>
      <c r="C25" s="44">
        <f t="shared" si="4"/>
        <v>9099895</v>
      </c>
      <c r="D25" s="44">
        <f t="shared" si="4"/>
        <v>12405880</v>
      </c>
      <c r="E25" s="44">
        <f t="shared" si="4"/>
        <v>15431360</v>
      </c>
      <c r="F25" s="44">
        <f t="shared" si="4"/>
        <v>18793920</v>
      </c>
      <c r="G25" s="44">
        <f t="shared" si="4"/>
        <v>22493560</v>
      </c>
      <c r="H25" s="44">
        <f t="shared" si="4"/>
        <v>26664850</v>
      </c>
      <c r="I25" s="44">
        <f t="shared" si="4"/>
        <v>31341760</v>
      </c>
      <c r="J25" s="44">
        <f t="shared" si="4"/>
        <v>36524290</v>
      </c>
      <c r="K25" s="44">
        <f t="shared" si="4"/>
        <v>42464595</v>
      </c>
      <c r="L25" s="44">
        <f t="shared" si="4"/>
        <v>49096045</v>
      </c>
      <c r="M25" s="44">
        <f t="shared" si="4"/>
        <v>56653810</v>
      </c>
      <c r="N25" s="44">
        <f>SUM(B25:M25)</f>
        <v>328066985</v>
      </c>
    </row>
    <row r="26" spans="1:14" x14ac:dyDescent="0.25">
      <c r="A26" s="40" t="s">
        <v>333</v>
      </c>
      <c r="B26" s="42">
        <f t="shared" ref="B26:N26" si="5">IFERROR(B25/B17,0)</f>
        <v>0.71418709495632571</v>
      </c>
      <c r="C26" s="42">
        <f t="shared" si="5"/>
        <v>0.72045278208822883</v>
      </c>
      <c r="D26" s="42">
        <f t="shared" si="5"/>
        <v>0.74134885444180187</v>
      </c>
      <c r="E26" s="42">
        <f t="shared" si="5"/>
        <v>0.74755286423640543</v>
      </c>
      <c r="F26" s="42">
        <f t="shared" si="5"/>
        <v>0.75143819020735203</v>
      </c>
      <c r="G26" s="42">
        <f t="shared" si="5"/>
        <v>0.75384352430584645</v>
      </c>
      <c r="H26" s="42">
        <f t="shared" si="5"/>
        <v>0.75524767674707771</v>
      </c>
      <c r="I26" s="42">
        <f t="shared" si="5"/>
        <v>0.75588977266697854</v>
      </c>
      <c r="J26" s="42">
        <f t="shared" si="5"/>
        <v>0.75603369046830493</v>
      </c>
      <c r="K26" s="42">
        <f t="shared" si="5"/>
        <v>0.75584120508562369</v>
      </c>
      <c r="L26" s="42">
        <f t="shared" si="5"/>
        <v>0.75534701067725163</v>
      </c>
      <c r="M26" s="42">
        <f t="shared" si="5"/>
        <v>0.75469484537455789</v>
      </c>
      <c r="N26" s="42">
        <f t="shared" si="5"/>
        <v>0.75223655256177113</v>
      </c>
    </row>
    <row r="28" spans="1:14" x14ac:dyDescent="0.25">
      <c r="A28" s="91" t="s">
        <v>349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</row>
    <row r="29" spans="1:14" x14ac:dyDescent="0.25">
      <c r="A29" s="40" t="s">
        <v>334</v>
      </c>
      <c r="B29" s="44">
        <f>Inputs!$B$40</f>
        <v>37975000</v>
      </c>
      <c r="C29" s="44">
        <f>Inputs!$B$40</f>
        <v>37975000</v>
      </c>
      <c r="D29" s="44">
        <f>Inputs!$B$40</f>
        <v>37975000</v>
      </c>
      <c r="E29" s="44">
        <f>Inputs!$B$40</f>
        <v>37975000</v>
      </c>
      <c r="F29" s="44">
        <f>Inputs!$B$40</f>
        <v>37975000</v>
      </c>
      <c r="G29" s="44">
        <f>Inputs!$B$40</f>
        <v>37975000</v>
      </c>
      <c r="H29" s="44">
        <f>Inputs!$B$40</f>
        <v>37975000</v>
      </c>
      <c r="I29" s="44">
        <f>Inputs!$B$40</f>
        <v>37975000</v>
      </c>
      <c r="J29" s="44">
        <f>Inputs!$B$40</f>
        <v>37975000</v>
      </c>
      <c r="K29" s="44">
        <f>Inputs!$B$40</f>
        <v>37975000</v>
      </c>
      <c r="L29" s="44">
        <f>Inputs!$B$40</f>
        <v>37975000</v>
      </c>
      <c r="M29" s="44">
        <f>Inputs!$B$40</f>
        <v>37975000</v>
      </c>
      <c r="N29" s="44">
        <f t="shared" ref="N29:N34" si="6">SUM(B29:M29)</f>
        <v>455700000</v>
      </c>
    </row>
    <row r="30" spans="1:14" x14ac:dyDescent="0.25">
      <c r="A30" s="40" t="s">
        <v>335</v>
      </c>
      <c r="B30" s="44">
        <f>Inputs!$B$41</f>
        <v>5472542</v>
      </c>
      <c r="C30" s="44">
        <f>Inputs!$B$41</f>
        <v>5472542</v>
      </c>
      <c r="D30" s="44">
        <f>Inputs!$B$41</f>
        <v>5472542</v>
      </c>
      <c r="E30" s="44">
        <f>Inputs!$B$41</f>
        <v>5472542</v>
      </c>
      <c r="F30" s="44">
        <f>Inputs!$B$41</f>
        <v>5472542</v>
      </c>
      <c r="G30" s="44">
        <f>Inputs!$B$41</f>
        <v>5472542</v>
      </c>
      <c r="H30" s="44">
        <f>Inputs!$B$41</f>
        <v>5472542</v>
      </c>
      <c r="I30" s="44">
        <f>Inputs!$B$41</f>
        <v>5472542</v>
      </c>
      <c r="J30" s="44">
        <f>Inputs!$B$41</f>
        <v>5472542</v>
      </c>
      <c r="K30" s="44">
        <f>Inputs!$B$41</f>
        <v>5472542</v>
      </c>
      <c r="L30" s="44">
        <f>Inputs!$B$41</f>
        <v>5472542</v>
      </c>
      <c r="M30" s="44">
        <f>Inputs!$B$41</f>
        <v>5472542</v>
      </c>
      <c r="N30" s="44">
        <f t="shared" si="6"/>
        <v>65670504</v>
      </c>
    </row>
    <row r="31" spans="1:14" x14ac:dyDescent="0.25">
      <c r="A31" s="40" t="s">
        <v>336</v>
      </c>
      <c r="B31" s="44">
        <f>Inputs!$B$42</f>
        <v>3370000</v>
      </c>
      <c r="C31" s="44">
        <f>Inputs!$B$42</f>
        <v>3370000</v>
      </c>
      <c r="D31" s="44">
        <f>Inputs!$B$42</f>
        <v>3370000</v>
      </c>
      <c r="E31" s="44">
        <f>Inputs!$B$42</f>
        <v>3370000</v>
      </c>
      <c r="F31" s="44">
        <f>Inputs!$B$42</f>
        <v>3370000</v>
      </c>
      <c r="G31" s="44">
        <f>Inputs!$B$42</f>
        <v>3370000</v>
      </c>
      <c r="H31" s="44">
        <f>Inputs!$B$42</f>
        <v>3370000</v>
      </c>
      <c r="I31" s="44">
        <f>Inputs!$B$42</f>
        <v>3370000</v>
      </c>
      <c r="J31" s="44">
        <f>Inputs!$B$42</f>
        <v>3370000</v>
      </c>
      <c r="K31" s="44">
        <f>Inputs!$B$42</f>
        <v>3370000</v>
      </c>
      <c r="L31" s="44">
        <f>Inputs!$B$42</f>
        <v>3370000</v>
      </c>
      <c r="M31" s="44">
        <f>Inputs!$B$42</f>
        <v>3370000</v>
      </c>
      <c r="N31" s="44">
        <f>Inputs!$B$42</f>
        <v>3370000</v>
      </c>
    </row>
    <row r="32" spans="1:14" x14ac:dyDescent="0.25">
      <c r="A32" s="40" t="s">
        <v>337</v>
      </c>
      <c r="B32" s="44">
        <f>Inputs!$B$43</f>
        <v>10000000</v>
      </c>
      <c r="C32" s="44">
        <f>Inputs!$B$43</f>
        <v>10000000</v>
      </c>
      <c r="D32" s="44">
        <f>Inputs!$B$43</f>
        <v>10000000</v>
      </c>
      <c r="E32" s="44">
        <f>Inputs!$B$43</f>
        <v>10000000</v>
      </c>
      <c r="F32" s="44">
        <f>Inputs!$B$43</f>
        <v>10000000</v>
      </c>
      <c r="G32" s="44">
        <f>Inputs!$B$43</f>
        <v>10000000</v>
      </c>
      <c r="H32" s="44">
        <f>Inputs!$B$43</f>
        <v>10000000</v>
      </c>
      <c r="I32" s="44">
        <f>Inputs!$B$43</f>
        <v>10000000</v>
      </c>
      <c r="J32" s="44">
        <f>Inputs!$B$43</f>
        <v>10000000</v>
      </c>
      <c r="K32" s="44">
        <f>Inputs!$B$43</f>
        <v>10000000</v>
      </c>
      <c r="L32" s="44">
        <f>Inputs!$B$43</f>
        <v>10000000</v>
      </c>
      <c r="M32" s="44">
        <f>Inputs!$B$43</f>
        <v>10000000</v>
      </c>
      <c r="N32" s="44">
        <f>Inputs!$B$43</f>
        <v>10000000</v>
      </c>
    </row>
    <row r="33" spans="1:14" x14ac:dyDescent="0.25">
      <c r="A33" s="40" t="s">
        <v>338</v>
      </c>
      <c r="B33" s="44">
        <f>B5*(1-Inputs!$B$9)*Inputs!$B$35+B5*Inputs!$B$9*Inputs!$B$36+B9*Inputs!$B$37</f>
        <v>1800000</v>
      </c>
      <c r="C33" s="44">
        <f>C5*(1-Inputs!$B$9)*Inputs!$B$35+C5*Inputs!$B$9*Inputs!$B$36+C9*Inputs!$B$37</f>
        <v>2070000</v>
      </c>
      <c r="D33" s="44">
        <f>D5*(1-Inputs!$B$9)*Inputs!$B$35+D5*Inputs!$B$9*Inputs!$B$36+D9*Inputs!$B$37</f>
        <v>3376000</v>
      </c>
      <c r="E33" s="44">
        <f>E5*(1-Inputs!$B$9)*Inputs!$B$35+E5*Inputs!$B$9*Inputs!$B$36+E9*Inputs!$B$37</f>
        <v>3236000</v>
      </c>
      <c r="F33" s="44">
        <f>F5*(1-Inputs!$B$9)*Inputs!$B$35+F5*Inputs!$B$9*Inputs!$B$36+F9*Inputs!$B$37</f>
        <v>3650000</v>
      </c>
      <c r="G33" s="44">
        <f>G5*(1-Inputs!$B$9)*Inputs!$B$35+G5*Inputs!$B$9*Inputs!$B$36+G9*Inputs!$B$37</f>
        <v>4118000</v>
      </c>
      <c r="H33" s="44">
        <f>H5*(1-Inputs!$B$9)*Inputs!$B$35+H5*Inputs!$B$9*Inputs!$B$36+H9*Inputs!$B$37</f>
        <v>4658000</v>
      </c>
      <c r="I33" s="44">
        <f>I5*(1-Inputs!$B$9)*Inputs!$B$35+I5*Inputs!$B$9*Inputs!$B$36+I9*Inputs!$B$37</f>
        <v>5288000</v>
      </c>
      <c r="J33" s="44">
        <f>J5*(1-Inputs!$B$9)*Inputs!$B$35+J5*Inputs!$B$9*Inputs!$B$36+J9*Inputs!$B$37</f>
        <v>6008000</v>
      </c>
      <c r="K33" s="44">
        <f>K5*(1-Inputs!$B$9)*Inputs!$B$35+K5*Inputs!$B$9*Inputs!$B$36+K9*Inputs!$B$37</f>
        <v>6836000</v>
      </c>
      <c r="L33" s="44">
        <f>L5*(1-Inputs!$B$9)*Inputs!$B$35+L5*Inputs!$B$9*Inputs!$B$36+L9*Inputs!$B$37</f>
        <v>7790000</v>
      </c>
      <c r="M33" s="44">
        <f>M5*(1-Inputs!$B$9)*Inputs!$B$35+M5*Inputs!$B$9*Inputs!$B$36+M9*Inputs!$B$37</f>
        <v>8870000</v>
      </c>
      <c r="N33" s="44">
        <f t="shared" si="6"/>
        <v>57700000</v>
      </c>
    </row>
    <row r="34" spans="1:14" x14ac:dyDescent="0.25">
      <c r="A34" s="28" t="s">
        <v>48</v>
      </c>
      <c r="B34" s="44">
        <f t="shared" ref="B34:M34" si="7">SUM(B29:B33)</f>
        <v>58617542</v>
      </c>
      <c r="C34" s="44">
        <f t="shared" si="7"/>
        <v>58887542</v>
      </c>
      <c r="D34" s="44">
        <f t="shared" si="7"/>
        <v>60193542</v>
      </c>
      <c r="E34" s="44">
        <f t="shared" si="7"/>
        <v>60053542</v>
      </c>
      <c r="F34" s="44">
        <f t="shared" si="7"/>
        <v>60467542</v>
      </c>
      <c r="G34" s="44">
        <f t="shared" si="7"/>
        <v>60935542</v>
      </c>
      <c r="H34" s="44">
        <f t="shared" si="7"/>
        <v>61475542</v>
      </c>
      <c r="I34" s="44">
        <f t="shared" si="7"/>
        <v>62105542</v>
      </c>
      <c r="J34" s="44">
        <f t="shared" si="7"/>
        <v>62825542</v>
      </c>
      <c r="K34" s="44">
        <f t="shared" si="7"/>
        <v>63653542</v>
      </c>
      <c r="L34" s="44">
        <f t="shared" si="7"/>
        <v>64607542</v>
      </c>
      <c r="M34" s="44">
        <f t="shared" si="7"/>
        <v>65687542</v>
      </c>
      <c r="N34" s="44">
        <f t="shared" si="6"/>
        <v>739510504</v>
      </c>
    </row>
    <row r="35" spans="1:14" x14ac:dyDescent="0.25">
      <c r="A35" s="91" t="s">
        <v>350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</row>
    <row r="36" spans="1:14" x14ac:dyDescent="0.25">
      <c r="A36" s="28" t="s">
        <v>339</v>
      </c>
      <c r="B36" s="44">
        <f>B25-B34</f>
        <v>-51520522</v>
      </c>
      <c r="C36" s="44">
        <f t="shared" ref="C36:M36" si="8">C25-C34</f>
        <v>-49787647</v>
      </c>
      <c r="D36" s="44">
        <f t="shared" si="8"/>
        <v>-47787662</v>
      </c>
      <c r="E36" s="44">
        <f t="shared" si="8"/>
        <v>-44622182</v>
      </c>
      <c r="F36" s="44">
        <f t="shared" si="8"/>
        <v>-41673622</v>
      </c>
      <c r="G36" s="44">
        <f t="shared" si="8"/>
        <v>-38441982</v>
      </c>
      <c r="H36" s="44">
        <f t="shared" si="8"/>
        <v>-34810692</v>
      </c>
      <c r="I36" s="44">
        <f t="shared" si="8"/>
        <v>-30763782</v>
      </c>
      <c r="J36" s="44">
        <f t="shared" si="8"/>
        <v>-26301252</v>
      </c>
      <c r="K36" s="44">
        <f t="shared" si="8"/>
        <v>-21188947</v>
      </c>
      <c r="L36" s="44">
        <f t="shared" si="8"/>
        <v>-15511497</v>
      </c>
      <c r="M36" s="44">
        <f t="shared" si="8"/>
        <v>-9033732</v>
      </c>
      <c r="N36" s="44">
        <f>SUM(B36:M36)</f>
        <v>-411443519</v>
      </c>
    </row>
    <row r="37" spans="1:14" x14ac:dyDescent="0.25">
      <c r="A37" s="40" t="s">
        <v>340</v>
      </c>
      <c r="B37" s="42">
        <f t="shared" ref="B37:N37" si="9">IFERROR(B36/B17,0)</f>
        <v>-5.1846115606005716</v>
      </c>
      <c r="C37" s="42">
        <f t="shared" si="9"/>
        <v>-3.941765129682997</v>
      </c>
      <c r="D37" s="42">
        <f t="shared" si="9"/>
        <v>-2.8556884703182703</v>
      </c>
      <c r="E37" s="42">
        <f t="shared" si="9"/>
        <v>-2.1616655928303259</v>
      </c>
      <c r="F37" s="42">
        <f t="shared" si="9"/>
        <v>-1.6662383949205537</v>
      </c>
      <c r="G37" s="42">
        <f t="shared" si="9"/>
        <v>-1.2883349364076613</v>
      </c>
      <c r="H37" s="42">
        <f t="shared" si="9"/>
        <v>-0.98596820379481165</v>
      </c>
      <c r="I37" s="42">
        <f t="shared" si="9"/>
        <v>-0.74195029833539938</v>
      </c>
      <c r="J37" s="42">
        <f t="shared" si="9"/>
        <v>-0.54442215340796185</v>
      </c>
      <c r="K37" s="42">
        <f t="shared" si="9"/>
        <v>-0.37714899282509134</v>
      </c>
      <c r="L37" s="42">
        <f t="shared" si="9"/>
        <v>-0.23864575833102558</v>
      </c>
      <c r="M37" s="42">
        <f t="shared" si="9"/>
        <v>-0.12033984960402833</v>
      </c>
      <c r="N37" s="42">
        <f t="shared" si="9"/>
        <v>-0.94341359678860581</v>
      </c>
    </row>
    <row r="38" spans="1:14" x14ac:dyDescent="0.25">
      <c r="A38" s="40" t="s">
        <v>341</v>
      </c>
      <c r="B38" s="44">
        <f>Inputs!$B$47/Inputs!$B$48</f>
        <v>6057976.888888889</v>
      </c>
      <c r="C38" s="44">
        <f>Inputs!$B$47/Inputs!$B$48</f>
        <v>6057976.888888889</v>
      </c>
      <c r="D38" s="44">
        <f>Inputs!$B$47/Inputs!$B$48</f>
        <v>6057976.888888889</v>
      </c>
      <c r="E38" s="44">
        <f>Inputs!$B$47/Inputs!$B$48</f>
        <v>6057976.888888889</v>
      </c>
      <c r="F38" s="44">
        <f>Inputs!$B$47/Inputs!$B$48</f>
        <v>6057976.888888889</v>
      </c>
      <c r="G38" s="44">
        <f>Inputs!$B$47/Inputs!$B$48</f>
        <v>6057976.888888889</v>
      </c>
      <c r="H38" s="44">
        <f>Inputs!$B$47/Inputs!$B$48</f>
        <v>6057976.888888889</v>
      </c>
      <c r="I38" s="44">
        <f>Inputs!$B$47/Inputs!$B$48</f>
        <v>6057976.888888889</v>
      </c>
      <c r="J38" s="44">
        <f>Inputs!$B$47/Inputs!$B$48</f>
        <v>6057976.888888889</v>
      </c>
      <c r="K38" s="44">
        <f>Inputs!$B$47/Inputs!$B$48</f>
        <v>6057976.888888889</v>
      </c>
      <c r="L38" s="44">
        <f>Inputs!$B$47/Inputs!$B$48</f>
        <v>6057976.888888889</v>
      </c>
      <c r="M38" s="44">
        <f>Inputs!$B$47/Inputs!$B$48</f>
        <v>6057976.888888889</v>
      </c>
      <c r="N38" s="44">
        <f>Inputs!$B$47/Inputs!$B$48</f>
        <v>6057976.888888889</v>
      </c>
    </row>
    <row r="39" spans="1:14" x14ac:dyDescent="0.25">
      <c r="A39" s="40" t="s">
        <v>342</v>
      </c>
      <c r="B39" s="44">
        <f t="shared" ref="B39:M39" si="10">B36-B38</f>
        <v>-57578498.888888888</v>
      </c>
      <c r="C39" s="44">
        <f t="shared" si="10"/>
        <v>-55845623.888888888</v>
      </c>
      <c r="D39" s="44">
        <f t="shared" si="10"/>
        <v>-53845638.888888888</v>
      </c>
      <c r="E39" s="44">
        <f t="shared" si="10"/>
        <v>-50680158.888888888</v>
      </c>
      <c r="F39" s="44">
        <f t="shared" si="10"/>
        <v>-47731598.888888888</v>
      </c>
      <c r="G39" s="44">
        <f t="shared" si="10"/>
        <v>-44499958.888888888</v>
      </c>
      <c r="H39" s="44">
        <f t="shared" si="10"/>
        <v>-40868668.888888888</v>
      </c>
      <c r="I39" s="44">
        <f t="shared" si="10"/>
        <v>-36821758.888888888</v>
      </c>
      <c r="J39" s="44">
        <f t="shared" si="10"/>
        <v>-32359228.888888888</v>
      </c>
      <c r="K39" s="44">
        <f t="shared" si="10"/>
        <v>-27246923.888888888</v>
      </c>
      <c r="L39" s="44">
        <f t="shared" si="10"/>
        <v>-21569473.888888888</v>
      </c>
      <c r="M39" s="44">
        <f t="shared" si="10"/>
        <v>-15091708.888888888</v>
      </c>
      <c r="N39" s="44">
        <f>SUM(B39:M39)</f>
        <v>-484139241.66666669</v>
      </c>
    </row>
    <row r="40" spans="1:14" x14ac:dyDescent="0.25">
      <c r="A40" s="40" t="s">
        <v>343</v>
      </c>
      <c r="B40" s="44">
        <f>IF(B39&gt;0,B39*Inputs!$B$53,0)</f>
        <v>0</v>
      </c>
      <c r="C40" s="44">
        <f>IF(C39&gt;0,C39*Inputs!$B$53,0)</f>
        <v>0</v>
      </c>
      <c r="D40" s="44">
        <f>IF(D39&gt;0,D39*Inputs!$B$53,0)</f>
        <v>0</v>
      </c>
      <c r="E40" s="44">
        <f>IF(E39&gt;0,E39*Inputs!$B$53,0)</f>
        <v>0</v>
      </c>
      <c r="F40" s="44">
        <f>IF(F39&gt;0,F39*Inputs!$B$53,0)</f>
        <v>0</v>
      </c>
      <c r="G40" s="44">
        <f>IF(G39&gt;0,G39*Inputs!$B$53,0)</f>
        <v>0</v>
      </c>
      <c r="H40" s="44">
        <f>IF(H39&gt;0,H39*Inputs!$B$53,0)</f>
        <v>0</v>
      </c>
      <c r="I40" s="44">
        <f>IF(I39&gt;0,I39*Inputs!$B$53,0)</f>
        <v>0</v>
      </c>
      <c r="J40" s="44">
        <f>IF(J39&gt;0,J39*Inputs!$B$53,0)</f>
        <v>0</v>
      </c>
      <c r="K40" s="44">
        <f>IF(K39&gt;0,K39*Inputs!$B$53,0)</f>
        <v>0</v>
      </c>
      <c r="L40" s="44">
        <f>IF(L39&gt;0,L39*Inputs!$B$53,0)</f>
        <v>0</v>
      </c>
      <c r="M40" s="44">
        <f>IF(M39&gt;0,M39*Inputs!$B$53,0)</f>
        <v>0</v>
      </c>
      <c r="N40" s="44">
        <f>SUM(B40:M40)</f>
        <v>0</v>
      </c>
    </row>
    <row r="41" spans="1:14" x14ac:dyDescent="0.25">
      <c r="A41" s="28" t="s">
        <v>344</v>
      </c>
      <c r="B41" s="44">
        <f t="shared" ref="B41:M41" si="11">B39-B40</f>
        <v>-57578498.888888888</v>
      </c>
      <c r="C41" s="44">
        <f t="shared" si="11"/>
        <v>-55845623.888888888</v>
      </c>
      <c r="D41" s="44">
        <f t="shared" si="11"/>
        <v>-53845638.888888888</v>
      </c>
      <c r="E41" s="44">
        <f t="shared" si="11"/>
        <v>-50680158.888888888</v>
      </c>
      <c r="F41" s="44">
        <f t="shared" si="11"/>
        <v>-47731598.888888888</v>
      </c>
      <c r="G41" s="44">
        <f t="shared" si="11"/>
        <v>-44499958.888888888</v>
      </c>
      <c r="H41" s="44">
        <f t="shared" si="11"/>
        <v>-40868668.888888888</v>
      </c>
      <c r="I41" s="44">
        <f t="shared" si="11"/>
        <v>-36821758.888888888</v>
      </c>
      <c r="J41" s="44">
        <f t="shared" si="11"/>
        <v>-32359228.888888888</v>
      </c>
      <c r="K41" s="44">
        <f t="shared" si="11"/>
        <v>-27246923.888888888</v>
      </c>
      <c r="L41" s="44">
        <f t="shared" si="11"/>
        <v>-21569473.888888888</v>
      </c>
      <c r="M41" s="44">
        <f t="shared" si="11"/>
        <v>-15091708.888888888</v>
      </c>
      <c r="N41" s="44">
        <f>SUM(B41:M41)</f>
        <v>-484139241.66666669</v>
      </c>
    </row>
  </sheetData>
  <mergeCells count="7">
    <mergeCell ref="A35:N35"/>
    <mergeCell ref="A1:N1"/>
    <mergeCell ref="A4:N4"/>
    <mergeCell ref="A12:N12"/>
    <mergeCell ref="A19:N19"/>
    <mergeCell ref="A24:N24"/>
    <mergeCell ref="A28:N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2008-F19B-4ABB-A2EC-F350F1657A91}">
  <dimension ref="A1:N23"/>
  <sheetViews>
    <sheetView topLeftCell="B1" workbookViewId="0">
      <selection activeCell="N25" sqref="N25"/>
    </sheetView>
  </sheetViews>
  <sheetFormatPr defaultRowHeight="15" x14ac:dyDescent="0.25"/>
  <cols>
    <col min="1" max="1" width="39" style="27" bestFit="1" customWidth="1"/>
    <col min="2" max="2" width="17" style="27" bestFit="1" customWidth="1"/>
    <col min="3" max="13" width="14.42578125" style="27" bestFit="1" customWidth="1"/>
    <col min="14" max="14" width="16" style="27" bestFit="1" customWidth="1"/>
    <col min="15" max="16384" width="9.140625" style="27"/>
  </cols>
  <sheetData>
    <row r="1" spans="1:14" x14ac:dyDescent="0.25">
      <c r="A1" s="60" t="s">
        <v>431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3" spans="1:14" x14ac:dyDescent="0.25">
      <c r="A3" s="49" t="s">
        <v>303</v>
      </c>
      <c r="B3" s="49" t="s">
        <v>304</v>
      </c>
      <c r="C3" s="49" t="s">
        <v>305</v>
      </c>
      <c r="D3" s="49" t="s">
        <v>306</v>
      </c>
      <c r="E3" s="49" t="s">
        <v>307</v>
      </c>
      <c r="F3" s="49" t="s">
        <v>308</v>
      </c>
      <c r="G3" s="49" t="s">
        <v>309</v>
      </c>
      <c r="H3" s="49" t="s">
        <v>310</v>
      </c>
      <c r="I3" s="49" t="s">
        <v>311</v>
      </c>
      <c r="J3" s="49" t="s">
        <v>312</v>
      </c>
      <c r="K3" s="49" t="s">
        <v>313</v>
      </c>
      <c r="L3" s="49" t="s">
        <v>314</v>
      </c>
      <c r="M3" s="49" t="s">
        <v>315</v>
      </c>
      <c r="N3" s="49" t="s">
        <v>316</v>
      </c>
    </row>
    <row r="4" spans="1:14" ht="15.95" customHeight="1" x14ac:dyDescent="0.25">
      <c r="A4" s="61" t="s">
        <v>457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</row>
    <row r="5" spans="1:14" ht="15" customHeight="1" x14ac:dyDescent="0.25">
      <c r="A5" s="46" t="s">
        <v>351</v>
      </c>
      <c r="B5" s="48">
        <f>'P&amp;G 12 Meses'!B36</f>
        <v>-51520522</v>
      </c>
      <c r="C5" s="48">
        <f>'P&amp;G 12 Meses'!C36</f>
        <v>-49787647</v>
      </c>
      <c r="D5" s="48">
        <f>'P&amp;G 12 Meses'!D36</f>
        <v>-47787662</v>
      </c>
      <c r="E5" s="48">
        <f>'P&amp;G 12 Meses'!E36</f>
        <v>-44622182</v>
      </c>
      <c r="F5" s="48">
        <f>'P&amp;G 12 Meses'!F36</f>
        <v>-41673622</v>
      </c>
      <c r="G5" s="48">
        <f>'P&amp;G 12 Meses'!G36</f>
        <v>-38441982</v>
      </c>
      <c r="H5" s="48">
        <f>'P&amp;G 12 Meses'!H36</f>
        <v>-34810692</v>
      </c>
      <c r="I5" s="48">
        <f>'P&amp;G 12 Meses'!I36</f>
        <v>-30763782</v>
      </c>
      <c r="J5" s="48">
        <f>'P&amp;G 12 Meses'!J36</f>
        <v>-26301252</v>
      </c>
      <c r="K5" s="48">
        <f>'P&amp;G 12 Meses'!K36</f>
        <v>-21188947</v>
      </c>
      <c r="L5" s="48">
        <f>'P&amp;G 12 Meses'!L36</f>
        <v>-15511497</v>
      </c>
      <c r="M5" s="48">
        <f>'P&amp;G 12 Meses'!M36</f>
        <v>-9033732</v>
      </c>
      <c r="N5" s="48">
        <f>SUM(B5:M5)</f>
        <v>-411443519</v>
      </c>
    </row>
    <row r="6" spans="1:14" ht="15" customHeight="1" x14ac:dyDescent="0.25">
      <c r="A6" s="46" t="s">
        <v>352</v>
      </c>
      <c r="B6" s="48">
        <f>-'P&amp;G 12 Meses'!B17*0.05</f>
        <v>-496860</v>
      </c>
      <c r="C6" s="48">
        <f>-('P&amp;G 12 Meses'!C17 - 'P&amp;G 12 Meses'!B17)*0.05</f>
        <v>-134680</v>
      </c>
      <c r="D6" s="48">
        <f>-('P&amp;G 12 Meses'!D17 - 'P&amp;G 12 Meses'!C17)*0.05</f>
        <v>-205170</v>
      </c>
      <c r="E6" s="48">
        <f>-('P&amp;G 12 Meses'!E17 - 'P&amp;G 12 Meses'!D17)*0.05</f>
        <v>-195415</v>
      </c>
      <c r="F6" s="48">
        <f>-('P&amp;G 12 Meses'!F17 - 'P&amp;G 12 Meses'!E17)*0.05</f>
        <v>-218405</v>
      </c>
      <c r="G6" s="48">
        <f>-('P&amp;G 12 Meses'!G17 - 'P&amp;G 12 Meses'!F17)*0.05</f>
        <v>-241395</v>
      </c>
      <c r="H6" s="48">
        <f>-('P&amp;G 12 Meses'!H17 - 'P&amp;G 12 Meses'!G17)*0.05</f>
        <v>-273380</v>
      </c>
      <c r="I6" s="48">
        <f>-('P&amp;G 12 Meses'!I17 - 'P&amp;G 12 Meses'!H17)*0.05</f>
        <v>-307865</v>
      </c>
      <c r="J6" s="48">
        <f>-('P&amp;G 12 Meses'!J17 - 'P&amp;G 12 Meses'!I17)*0.05</f>
        <v>-342350</v>
      </c>
      <c r="K6" s="48">
        <f>-('P&amp;G 12 Meses'!K17 - 'P&amp;G 12 Meses'!J17)*0.05</f>
        <v>-393575</v>
      </c>
      <c r="L6" s="48">
        <f>-('P&amp;G 12 Meses'!L17 - 'P&amp;G 12 Meses'!K17)*0.05</f>
        <v>-440805</v>
      </c>
      <c r="M6" s="48">
        <f>-('P&amp;G 12 Meses'!M17 - 'P&amp;G 12 Meses'!L17)*0.05</f>
        <v>-503525</v>
      </c>
      <c r="N6" s="48">
        <f t="shared" ref="N6:N8" si="0">SUM(B6:M6)</f>
        <v>-3753425</v>
      </c>
    </row>
    <row r="7" spans="1:14" ht="15" customHeight="1" x14ac:dyDescent="0.25">
      <c r="A7" s="46" t="s">
        <v>353</v>
      </c>
      <c r="B7" s="48">
        <f>-'P&amp;G 12 Meses'!C40</f>
        <v>0</v>
      </c>
      <c r="C7" s="48">
        <f>-'P&amp;G 12 Meses'!D40</f>
        <v>0</v>
      </c>
      <c r="D7" s="48">
        <f>-'P&amp;G 12 Meses'!E40</f>
        <v>0</v>
      </c>
      <c r="E7" s="48">
        <f>-'P&amp;G 12 Meses'!F40</f>
        <v>0</v>
      </c>
      <c r="F7" s="48">
        <f>-'P&amp;G 12 Meses'!G40</f>
        <v>0</v>
      </c>
      <c r="G7" s="48">
        <f>-'P&amp;G 12 Meses'!H40</f>
        <v>0</v>
      </c>
      <c r="H7" s="48">
        <f>-'P&amp;G 12 Meses'!I40</f>
        <v>0</v>
      </c>
      <c r="I7" s="48">
        <f>-'P&amp;G 12 Meses'!J40</f>
        <v>0</v>
      </c>
      <c r="J7" s="48">
        <f>-'P&amp;G 12 Meses'!K40</f>
        <v>0</v>
      </c>
      <c r="K7" s="48">
        <f>-'P&amp;G 12 Meses'!L40</f>
        <v>0</v>
      </c>
      <c r="L7" s="48">
        <f>-'P&amp;G 12 Meses'!M40</f>
        <v>0</v>
      </c>
      <c r="M7" s="48">
        <f>-'P&amp;G 12 Meses'!N40</f>
        <v>0</v>
      </c>
      <c r="N7" s="48">
        <f t="shared" si="0"/>
        <v>0</v>
      </c>
    </row>
    <row r="8" spans="1:14" ht="15" customHeight="1" x14ac:dyDescent="0.25">
      <c r="A8" s="46" t="s">
        <v>354</v>
      </c>
      <c r="B8" s="48">
        <f t="shared" ref="B8:M8" si="1">B5+B6+B7</f>
        <v>-52017382</v>
      </c>
      <c r="C8" s="48">
        <f t="shared" si="1"/>
        <v>-49922327</v>
      </c>
      <c r="D8" s="48">
        <f t="shared" si="1"/>
        <v>-47992832</v>
      </c>
      <c r="E8" s="48">
        <f t="shared" si="1"/>
        <v>-44817597</v>
      </c>
      <c r="F8" s="48">
        <f t="shared" si="1"/>
        <v>-41892027</v>
      </c>
      <c r="G8" s="48">
        <f t="shared" si="1"/>
        <v>-38683377</v>
      </c>
      <c r="H8" s="48">
        <f t="shared" si="1"/>
        <v>-35084072</v>
      </c>
      <c r="I8" s="48">
        <f t="shared" si="1"/>
        <v>-31071647</v>
      </c>
      <c r="J8" s="48">
        <f t="shared" si="1"/>
        <v>-26643602</v>
      </c>
      <c r="K8" s="48">
        <f t="shared" si="1"/>
        <v>-21582522</v>
      </c>
      <c r="L8" s="48">
        <f t="shared" si="1"/>
        <v>-15952302</v>
      </c>
      <c r="M8" s="48">
        <f t="shared" si="1"/>
        <v>-9537257</v>
      </c>
      <c r="N8" s="48">
        <f t="shared" si="0"/>
        <v>-415196944</v>
      </c>
    </row>
    <row r="10" spans="1:14" ht="15.95" customHeight="1" x14ac:dyDescent="0.25">
      <c r="A10" s="61" t="s">
        <v>456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spans="1:14" ht="15" customHeight="1" x14ac:dyDescent="0.25">
      <c r="A11" s="46" t="s">
        <v>355</v>
      </c>
      <c r="B11" s="48">
        <f>-Inputs!$B$47</f>
        <v>-218087168</v>
      </c>
      <c r="C11" s="48">
        <f>0</f>
        <v>0</v>
      </c>
      <c r="D11" s="48">
        <f>0</f>
        <v>0</v>
      </c>
      <c r="E11" s="48">
        <f>0</f>
        <v>0</v>
      </c>
      <c r="F11" s="48">
        <f>0</f>
        <v>0</v>
      </c>
      <c r="G11" s="48">
        <f>0</f>
        <v>0</v>
      </c>
      <c r="H11" s="48">
        <f>0</f>
        <v>0</v>
      </c>
      <c r="I11" s="48">
        <f>0</f>
        <v>0</v>
      </c>
      <c r="J11" s="48">
        <f>0</f>
        <v>0</v>
      </c>
      <c r="K11" s="48">
        <f>0</f>
        <v>0</v>
      </c>
      <c r="L11" s="48">
        <f>0</f>
        <v>0</v>
      </c>
      <c r="M11" s="48">
        <f>0</f>
        <v>0</v>
      </c>
      <c r="N11" s="48">
        <f>SUM(B11:M11)</f>
        <v>-218087168</v>
      </c>
    </row>
    <row r="12" spans="1:14" ht="15" customHeight="1" x14ac:dyDescent="0.25">
      <c r="A12" s="46" t="s">
        <v>356</v>
      </c>
      <c r="B12" s="48">
        <f>B11</f>
        <v>-218087168</v>
      </c>
      <c r="C12" s="48">
        <f t="shared" ref="C12:M12" si="2">C11</f>
        <v>0</v>
      </c>
      <c r="D12" s="48">
        <f t="shared" si="2"/>
        <v>0</v>
      </c>
      <c r="E12" s="48">
        <f t="shared" si="2"/>
        <v>0</v>
      </c>
      <c r="F12" s="48">
        <f t="shared" si="2"/>
        <v>0</v>
      </c>
      <c r="G12" s="48">
        <f t="shared" si="2"/>
        <v>0</v>
      </c>
      <c r="H12" s="48">
        <f t="shared" si="2"/>
        <v>0</v>
      </c>
      <c r="I12" s="48">
        <f t="shared" si="2"/>
        <v>0</v>
      </c>
      <c r="J12" s="48">
        <f t="shared" si="2"/>
        <v>0</v>
      </c>
      <c r="K12" s="48">
        <f t="shared" si="2"/>
        <v>0</v>
      </c>
      <c r="L12" s="48">
        <f t="shared" si="2"/>
        <v>0</v>
      </c>
      <c r="M12" s="48">
        <f t="shared" si="2"/>
        <v>0</v>
      </c>
      <c r="N12" s="48">
        <f>SUM(B12:M12)</f>
        <v>-218087168</v>
      </c>
    </row>
    <row r="14" spans="1:14" ht="15.95" customHeight="1" x14ac:dyDescent="0.25">
      <c r="A14" s="61" t="s">
        <v>455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</row>
    <row r="15" spans="1:14" ht="15" customHeight="1" x14ac:dyDescent="0.25">
      <c r="A15" s="46" t="s">
        <v>357</v>
      </c>
      <c r="B15" s="48">
        <f>0</f>
        <v>0</v>
      </c>
      <c r="C15" s="48">
        <f>0</f>
        <v>0</v>
      </c>
      <c r="D15" s="48">
        <f>0</f>
        <v>0</v>
      </c>
      <c r="E15" s="48">
        <f>0</f>
        <v>0</v>
      </c>
      <c r="F15" s="48">
        <f>0</f>
        <v>0</v>
      </c>
      <c r="G15" s="48">
        <f>0</f>
        <v>0</v>
      </c>
      <c r="H15" s="48">
        <f>0</f>
        <v>0</v>
      </c>
      <c r="I15" s="48">
        <f>0</f>
        <v>0</v>
      </c>
      <c r="J15" s="48">
        <f>0</f>
        <v>0</v>
      </c>
      <c r="K15" s="48">
        <f>0</f>
        <v>0</v>
      </c>
      <c r="L15" s="48">
        <f>0</f>
        <v>0</v>
      </c>
      <c r="M15" s="48">
        <f>0</f>
        <v>0</v>
      </c>
      <c r="N15" s="48">
        <f>SUM(B15:M15)</f>
        <v>0</v>
      </c>
    </row>
    <row r="16" spans="1:14" ht="15" customHeight="1" x14ac:dyDescent="0.25">
      <c r="A16" s="46" t="s">
        <v>358</v>
      </c>
      <c r="B16" s="48">
        <f>B15</f>
        <v>0</v>
      </c>
      <c r="C16" s="48">
        <f t="shared" ref="C16:M16" si="3">C15</f>
        <v>0</v>
      </c>
      <c r="D16" s="48">
        <f t="shared" si="3"/>
        <v>0</v>
      </c>
      <c r="E16" s="48">
        <f t="shared" si="3"/>
        <v>0</v>
      </c>
      <c r="F16" s="48">
        <f t="shared" si="3"/>
        <v>0</v>
      </c>
      <c r="G16" s="48">
        <f t="shared" si="3"/>
        <v>0</v>
      </c>
      <c r="H16" s="48">
        <f t="shared" si="3"/>
        <v>0</v>
      </c>
      <c r="I16" s="48">
        <f t="shared" si="3"/>
        <v>0</v>
      </c>
      <c r="J16" s="48">
        <f t="shared" si="3"/>
        <v>0</v>
      </c>
      <c r="K16" s="48">
        <f t="shared" si="3"/>
        <v>0</v>
      </c>
      <c r="L16" s="48">
        <f t="shared" si="3"/>
        <v>0</v>
      </c>
      <c r="M16" s="48">
        <f t="shared" si="3"/>
        <v>0</v>
      </c>
      <c r="N16" s="48">
        <f>SUM(B16:M16)</f>
        <v>0</v>
      </c>
    </row>
    <row r="18" spans="1:14" ht="15.95" customHeight="1" x14ac:dyDescent="0.25">
      <c r="A18" s="61" t="s">
        <v>454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</row>
    <row r="19" spans="1:14" ht="15" customHeight="1" x14ac:dyDescent="0.25">
      <c r="A19" s="46" t="s">
        <v>359</v>
      </c>
      <c r="B19" s="48">
        <f t="shared" ref="B19:M19" si="4">B8+B12+B16</f>
        <v>-270104550</v>
      </c>
      <c r="C19" s="48">
        <f t="shared" si="4"/>
        <v>-49922327</v>
      </c>
      <c r="D19" s="48">
        <f t="shared" si="4"/>
        <v>-47992832</v>
      </c>
      <c r="E19" s="48">
        <f t="shared" si="4"/>
        <v>-44817597</v>
      </c>
      <c r="F19" s="48">
        <f t="shared" si="4"/>
        <v>-41892027</v>
      </c>
      <c r="G19" s="48">
        <f t="shared" si="4"/>
        <v>-38683377</v>
      </c>
      <c r="H19" s="48">
        <f t="shared" si="4"/>
        <v>-35084072</v>
      </c>
      <c r="I19" s="48">
        <f t="shared" si="4"/>
        <v>-31071647</v>
      </c>
      <c r="J19" s="48">
        <f t="shared" si="4"/>
        <v>-26643602</v>
      </c>
      <c r="K19" s="48">
        <f t="shared" si="4"/>
        <v>-21582522</v>
      </c>
      <c r="L19" s="48">
        <f t="shared" si="4"/>
        <v>-15952302</v>
      </c>
      <c r="M19" s="48">
        <f t="shared" si="4"/>
        <v>-9537257</v>
      </c>
      <c r="N19" s="48">
        <f>SUM(B19:M19)</f>
        <v>-633284112</v>
      </c>
    </row>
    <row r="20" spans="1:14" ht="15" customHeight="1" x14ac:dyDescent="0.25">
      <c r="A20" s="46" t="s">
        <v>360</v>
      </c>
      <c r="B20" s="48">
        <f>B19</f>
        <v>-270104550</v>
      </c>
      <c r="C20" s="48">
        <f t="shared" ref="C20:M20" si="5">B20+C19</f>
        <v>-320026877</v>
      </c>
      <c r="D20" s="48">
        <f t="shared" si="5"/>
        <v>-368019709</v>
      </c>
      <c r="E20" s="48">
        <f t="shared" si="5"/>
        <v>-412837306</v>
      </c>
      <c r="F20" s="48">
        <f t="shared" si="5"/>
        <v>-454729333</v>
      </c>
      <c r="G20" s="48">
        <f t="shared" si="5"/>
        <v>-493412710</v>
      </c>
      <c r="H20" s="48">
        <f t="shared" si="5"/>
        <v>-528496782</v>
      </c>
      <c r="I20" s="48">
        <f t="shared" si="5"/>
        <v>-559568429</v>
      </c>
      <c r="J20" s="48">
        <f t="shared" si="5"/>
        <v>-586212031</v>
      </c>
      <c r="K20" s="48">
        <f t="shared" si="5"/>
        <v>-607794553</v>
      </c>
      <c r="L20" s="48">
        <f t="shared" si="5"/>
        <v>-623746855</v>
      </c>
      <c r="M20" s="48">
        <f t="shared" si="5"/>
        <v>-633284112</v>
      </c>
      <c r="N20" s="48">
        <f>SUM(B20:M20)</f>
        <v>-5858233247</v>
      </c>
    </row>
    <row r="21" spans="1:14" ht="15" customHeight="1" x14ac:dyDescent="0.25">
      <c r="A21" s="46" t="s">
        <v>361</v>
      </c>
      <c r="B21" s="48">
        <f>Inputs!$B$40*2</f>
        <v>75950000</v>
      </c>
      <c r="C21" s="48">
        <f>Inputs!$B$40*2</f>
        <v>75950000</v>
      </c>
      <c r="D21" s="48">
        <f>Inputs!$B$40*2</f>
        <v>75950000</v>
      </c>
      <c r="E21" s="48">
        <f>Inputs!$B$40*2</f>
        <v>75950000</v>
      </c>
      <c r="F21" s="48">
        <f>Inputs!$B$40*2</f>
        <v>75950000</v>
      </c>
      <c r="G21" s="48">
        <f>Inputs!$B$40*2</f>
        <v>75950000</v>
      </c>
      <c r="H21" s="48">
        <f>Inputs!$B$40*2</f>
        <v>75950000</v>
      </c>
      <c r="I21" s="48">
        <f>Inputs!$B$40*2</f>
        <v>75950000</v>
      </c>
      <c r="J21" s="48">
        <f>Inputs!$B$40*2</f>
        <v>75950000</v>
      </c>
      <c r="K21" s="48">
        <f>Inputs!$B$40*2</f>
        <v>75950000</v>
      </c>
      <c r="L21" s="48">
        <f>Inputs!$B$40*2</f>
        <v>75950000</v>
      </c>
      <c r="M21" s="48">
        <f>Inputs!$B$40*2</f>
        <v>75950000</v>
      </c>
      <c r="N21" s="48">
        <f>SUM(B21:M21)</f>
        <v>911400000</v>
      </c>
    </row>
    <row r="23" spans="1:14" x14ac:dyDescent="0.25">
      <c r="A23" s="47"/>
    </row>
  </sheetData>
  <mergeCells count="5">
    <mergeCell ref="A1:N1"/>
    <mergeCell ref="A4:N4"/>
    <mergeCell ref="A10:N10"/>
    <mergeCell ref="A14:N14"/>
    <mergeCell ref="A18:N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C4B5-4EB7-40AF-86D7-D3C89D6F3FC9}">
  <dimension ref="A1:G34"/>
  <sheetViews>
    <sheetView tabSelected="1" workbookViewId="0">
      <selection activeCell="G26" sqref="G26"/>
    </sheetView>
  </sheetViews>
  <sheetFormatPr defaultRowHeight="15" x14ac:dyDescent="0.25"/>
  <cols>
    <col min="1" max="4" width="20" style="27" customWidth="1"/>
    <col min="5" max="5" width="40.28515625" style="27" bestFit="1" customWidth="1"/>
    <col min="6" max="6" width="30.85546875" style="27" bestFit="1" customWidth="1"/>
    <col min="7" max="7" width="53.7109375" style="27" bestFit="1" customWidth="1"/>
    <col min="8" max="16384" width="9.140625" style="27"/>
  </cols>
  <sheetData>
    <row r="1" spans="1:7" x14ac:dyDescent="0.25">
      <c r="A1" s="60" t="s">
        <v>432</v>
      </c>
      <c r="B1" s="60"/>
      <c r="C1" s="60"/>
      <c r="D1" s="60"/>
      <c r="E1" s="60"/>
      <c r="F1" s="60"/>
      <c r="G1" s="60"/>
    </row>
    <row r="3" spans="1:7" ht="15.95" customHeight="1" x14ac:dyDescent="0.25">
      <c r="A3" s="61" t="s">
        <v>458</v>
      </c>
      <c r="B3" s="62"/>
      <c r="C3" s="62"/>
      <c r="D3" s="62"/>
      <c r="E3" s="62"/>
      <c r="F3" s="62"/>
      <c r="G3" s="62"/>
    </row>
    <row r="4" spans="1:7" ht="14.1" customHeight="1" x14ac:dyDescent="0.25">
      <c r="A4" s="63" t="s">
        <v>483</v>
      </c>
      <c r="B4" s="64"/>
      <c r="C4" s="64"/>
      <c r="D4" s="64"/>
      <c r="E4" s="64"/>
      <c r="F4" s="64"/>
      <c r="G4" s="64"/>
    </row>
    <row r="5" spans="1:7" ht="30" x14ac:dyDescent="0.25">
      <c r="A5" s="49" t="s">
        <v>362</v>
      </c>
      <c r="B5" s="49" t="s">
        <v>363</v>
      </c>
      <c r="C5" s="49" t="s">
        <v>364</v>
      </c>
      <c r="D5" s="49" t="s">
        <v>365</v>
      </c>
      <c r="E5" s="49" t="s">
        <v>366</v>
      </c>
      <c r="F5" s="49" t="s">
        <v>367</v>
      </c>
      <c r="G5" s="49" t="s">
        <v>368</v>
      </c>
    </row>
    <row r="6" spans="1:7" x14ac:dyDescent="0.25">
      <c r="A6" s="46" t="s">
        <v>369</v>
      </c>
      <c r="B6" s="50">
        <v>228</v>
      </c>
      <c r="C6" s="50">
        <v>250.62</v>
      </c>
      <c r="D6" s="50">
        <v>276</v>
      </c>
      <c r="E6" s="50">
        <v>322.92</v>
      </c>
      <c r="F6" s="50">
        <v>372</v>
      </c>
      <c r="G6" s="46" t="s">
        <v>459</v>
      </c>
    </row>
    <row r="7" spans="1:7" x14ac:dyDescent="0.25">
      <c r="A7" s="46" t="s">
        <v>370</v>
      </c>
      <c r="B7" s="50">
        <v>236.4</v>
      </c>
      <c r="C7" s="50">
        <v>263.13600000000002</v>
      </c>
      <c r="D7" s="50">
        <v>292.8</v>
      </c>
      <c r="E7" s="50">
        <v>348.036</v>
      </c>
      <c r="F7" s="50">
        <v>405.6</v>
      </c>
      <c r="G7" s="46" t="s">
        <v>460</v>
      </c>
    </row>
    <row r="8" spans="1:7" x14ac:dyDescent="0.25">
      <c r="A8" s="46" t="s">
        <v>371</v>
      </c>
      <c r="B8" s="50">
        <v>245.88</v>
      </c>
      <c r="C8" s="50">
        <v>277.26119999999997</v>
      </c>
      <c r="D8" s="50">
        <v>311.76</v>
      </c>
      <c r="E8" s="50">
        <v>376.38119999999998</v>
      </c>
      <c r="F8" s="50">
        <v>443.52</v>
      </c>
      <c r="G8" s="46" t="s">
        <v>463</v>
      </c>
    </row>
    <row r="9" spans="1:7" x14ac:dyDescent="0.25">
      <c r="A9" s="46" t="s">
        <v>372</v>
      </c>
      <c r="B9" s="50">
        <v>256.8</v>
      </c>
      <c r="C9" s="50">
        <v>293.53199999999998</v>
      </c>
      <c r="D9" s="50">
        <v>333.6</v>
      </c>
      <c r="E9" s="50">
        <v>409.03199999999998</v>
      </c>
      <c r="F9" s="50">
        <v>487.2</v>
      </c>
      <c r="G9" s="46" t="s">
        <v>461</v>
      </c>
    </row>
    <row r="10" spans="1:7" x14ac:dyDescent="0.25">
      <c r="A10" s="46" t="s">
        <v>373</v>
      </c>
      <c r="B10" s="50">
        <v>268.8</v>
      </c>
      <c r="C10" s="50">
        <v>311.41199999999998</v>
      </c>
      <c r="D10" s="50">
        <v>357.6</v>
      </c>
      <c r="E10" s="50">
        <v>444.91199999999998</v>
      </c>
      <c r="F10" s="50">
        <v>535.20000000000005</v>
      </c>
      <c r="G10" s="46" t="s">
        <v>462</v>
      </c>
    </row>
    <row r="12" spans="1:7" ht="15.95" customHeight="1" x14ac:dyDescent="0.25">
      <c r="A12" s="61" t="s">
        <v>469</v>
      </c>
      <c r="B12" s="62"/>
      <c r="C12" s="62"/>
      <c r="D12" s="62"/>
      <c r="E12" s="62"/>
      <c r="F12" s="62"/>
      <c r="G12" s="62"/>
    </row>
    <row r="13" spans="1:7" x14ac:dyDescent="0.25">
      <c r="A13" s="49" t="s">
        <v>374</v>
      </c>
      <c r="B13" s="49" t="s">
        <v>375</v>
      </c>
      <c r="C13" s="49" t="s">
        <v>376</v>
      </c>
      <c r="D13" s="49" t="s">
        <v>377</v>
      </c>
      <c r="E13" s="49" t="s">
        <v>378</v>
      </c>
      <c r="F13" s="49" t="s">
        <v>379</v>
      </c>
      <c r="G13" s="49" t="s">
        <v>380</v>
      </c>
    </row>
    <row r="14" spans="1:7" x14ac:dyDescent="0.25">
      <c r="A14" s="46" t="s">
        <v>381</v>
      </c>
      <c r="B14" s="50">
        <v>-644.34158400000001</v>
      </c>
      <c r="C14" s="50">
        <v>-645.344964</v>
      </c>
      <c r="D14" s="50">
        <v>-646.348344</v>
      </c>
      <c r="E14" s="50">
        <v>-647.35172399999999</v>
      </c>
      <c r="F14" s="50">
        <v>-648.35510399999998</v>
      </c>
      <c r="G14" s="46" t="s">
        <v>464</v>
      </c>
    </row>
    <row r="15" spans="1:7" x14ac:dyDescent="0.25">
      <c r="A15" s="46" t="s">
        <v>382</v>
      </c>
      <c r="B15" s="50">
        <v>-624.87266399999999</v>
      </c>
      <c r="C15" s="50">
        <v>-626.87942399999997</v>
      </c>
      <c r="D15" s="50">
        <v>-627.88280399999996</v>
      </c>
      <c r="E15" s="50">
        <v>-630.89294400000006</v>
      </c>
      <c r="F15" s="50">
        <v>-632.89970400000004</v>
      </c>
      <c r="G15" s="46" t="s">
        <v>465</v>
      </c>
    </row>
    <row r="16" spans="1:7" x14ac:dyDescent="0.25">
      <c r="A16" s="46" t="s">
        <v>383</v>
      </c>
      <c r="B16" s="50">
        <v>-605.26992399999995</v>
      </c>
      <c r="C16" s="50">
        <v>-607.27668400000005</v>
      </c>
      <c r="D16" s="50">
        <v>-610.28682400000002</v>
      </c>
      <c r="E16" s="50">
        <v>-613.296964</v>
      </c>
      <c r="F16" s="50">
        <v>-617.31048399999997</v>
      </c>
      <c r="G16" s="46" t="s">
        <v>466</v>
      </c>
    </row>
    <row r="17" spans="1:7" x14ac:dyDescent="0.25">
      <c r="A17" s="46" t="s">
        <v>384</v>
      </c>
      <c r="B17" s="50">
        <v>-584.79762400000004</v>
      </c>
      <c r="C17" s="50">
        <v>-588.81114400000001</v>
      </c>
      <c r="D17" s="50">
        <v>-591.82128399999999</v>
      </c>
      <c r="E17" s="50">
        <v>-596.83818399999996</v>
      </c>
      <c r="F17" s="50">
        <v>-600.85170400000004</v>
      </c>
      <c r="G17" s="46" t="s">
        <v>467</v>
      </c>
    </row>
    <row r="18" spans="1:7" x14ac:dyDescent="0.25">
      <c r="A18" s="46" t="s">
        <v>385</v>
      </c>
      <c r="B18" s="50">
        <v>-545.72596399999998</v>
      </c>
      <c r="C18" s="50">
        <v>-550.74286400000005</v>
      </c>
      <c r="D18" s="50">
        <v>-555.75976400000002</v>
      </c>
      <c r="E18" s="50">
        <v>-562.78342399999997</v>
      </c>
      <c r="F18" s="50">
        <v>-569.80708400000003</v>
      </c>
      <c r="G18" s="46" t="s">
        <v>468</v>
      </c>
    </row>
    <row r="20" spans="1:7" ht="15.95" customHeight="1" x14ac:dyDescent="0.25">
      <c r="A20" s="61" t="s">
        <v>470</v>
      </c>
      <c r="B20" s="61"/>
      <c r="C20" s="61"/>
      <c r="D20" s="61"/>
      <c r="E20" s="61"/>
    </row>
    <row r="21" spans="1:7" ht="30" x14ac:dyDescent="0.25">
      <c r="A21" s="49" t="s">
        <v>386</v>
      </c>
      <c r="B21" s="49" t="s">
        <v>387</v>
      </c>
      <c r="C21" s="49" t="s">
        <v>388</v>
      </c>
      <c r="D21" s="49" t="s">
        <v>389</v>
      </c>
      <c r="E21" s="49" t="s">
        <v>380</v>
      </c>
      <c r="F21" s="96"/>
      <c r="G21" s="96"/>
    </row>
    <row r="22" spans="1:7" ht="15" customHeight="1" x14ac:dyDescent="0.25">
      <c r="A22" s="46" t="s">
        <v>390</v>
      </c>
      <c r="B22" s="51" t="s">
        <v>391</v>
      </c>
      <c r="C22" s="52">
        <v>6.0000000000000001E-3</v>
      </c>
      <c r="D22" s="51" t="s">
        <v>392</v>
      </c>
      <c r="E22" s="46" t="s">
        <v>471</v>
      </c>
    </row>
    <row r="23" spans="1:7" ht="15" customHeight="1" x14ac:dyDescent="0.25">
      <c r="A23" s="46" t="s">
        <v>393</v>
      </c>
      <c r="B23" s="51" t="s">
        <v>394</v>
      </c>
      <c r="C23" s="52">
        <v>1.2E-2</v>
      </c>
      <c r="D23" s="51" t="s">
        <v>395</v>
      </c>
      <c r="E23" s="46" t="s">
        <v>472</v>
      </c>
    </row>
    <row r="24" spans="1:7" ht="15" customHeight="1" x14ac:dyDescent="0.25">
      <c r="A24" s="46" t="s">
        <v>396</v>
      </c>
      <c r="B24" s="51" t="s">
        <v>397</v>
      </c>
      <c r="C24" s="52">
        <v>2.5000000000000001E-2</v>
      </c>
      <c r="D24" s="51" t="s">
        <v>398</v>
      </c>
      <c r="E24" s="46" t="s">
        <v>473</v>
      </c>
    </row>
    <row r="25" spans="1:7" ht="15" customHeight="1" x14ac:dyDescent="0.25">
      <c r="A25" s="46" t="s">
        <v>399</v>
      </c>
      <c r="B25" s="51" t="s">
        <v>400</v>
      </c>
      <c r="C25" s="52">
        <v>6.2E-2</v>
      </c>
      <c r="D25" s="51" t="s">
        <v>401</v>
      </c>
      <c r="E25" s="46" t="s">
        <v>474</v>
      </c>
    </row>
    <row r="26" spans="1:7" ht="15" customHeight="1" x14ac:dyDescent="0.25">
      <c r="A26" s="46" t="s">
        <v>402</v>
      </c>
      <c r="B26" s="51" t="s">
        <v>403</v>
      </c>
      <c r="C26" s="52">
        <v>0.125</v>
      </c>
      <c r="D26" s="51" t="s">
        <v>404</v>
      </c>
      <c r="E26" s="46" t="s">
        <v>475</v>
      </c>
    </row>
    <row r="27" spans="1:7" ht="15" customHeight="1" x14ac:dyDescent="0.25">
      <c r="A27" s="46" t="s">
        <v>405</v>
      </c>
      <c r="B27" s="51" t="s">
        <v>406</v>
      </c>
      <c r="C27" s="52">
        <v>0.25</v>
      </c>
      <c r="D27" s="51" t="s">
        <v>407</v>
      </c>
      <c r="E27" s="46" t="s">
        <v>476</v>
      </c>
    </row>
    <row r="29" spans="1:7" ht="15.95" customHeight="1" x14ac:dyDescent="0.25">
      <c r="A29" s="57" t="s">
        <v>477</v>
      </c>
      <c r="B29" s="58"/>
      <c r="C29" s="58"/>
      <c r="D29" s="58"/>
      <c r="E29" s="58"/>
      <c r="F29" s="59"/>
    </row>
    <row r="30" spans="1:7" x14ac:dyDescent="0.25">
      <c r="A30" s="53" t="s">
        <v>408</v>
      </c>
      <c r="B30" s="53" t="s">
        <v>409</v>
      </c>
      <c r="C30" s="53" t="s">
        <v>410</v>
      </c>
      <c r="D30" s="53" t="s">
        <v>411</v>
      </c>
      <c r="E30" s="53" t="s">
        <v>412</v>
      </c>
      <c r="F30" s="53" t="s">
        <v>380</v>
      </c>
    </row>
    <row r="31" spans="1:7" ht="27.95" customHeight="1" x14ac:dyDescent="0.25">
      <c r="A31" s="54" t="s">
        <v>413</v>
      </c>
      <c r="B31" s="54" t="s">
        <v>414</v>
      </c>
      <c r="C31" s="54" t="s">
        <v>415</v>
      </c>
      <c r="D31" s="54" t="s">
        <v>416</v>
      </c>
      <c r="E31" s="54" t="s">
        <v>417</v>
      </c>
      <c r="F31" s="54" t="s">
        <v>482</v>
      </c>
    </row>
    <row r="32" spans="1:7" ht="27.95" customHeight="1" x14ac:dyDescent="0.25">
      <c r="A32" s="54" t="s">
        <v>418</v>
      </c>
      <c r="B32" s="54" t="s">
        <v>419</v>
      </c>
      <c r="C32" s="54" t="s">
        <v>420</v>
      </c>
      <c r="D32" s="54" t="s">
        <v>421</v>
      </c>
      <c r="E32" s="54" t="s">
        <v>422</v>
      </c>
      <c r="F32" s="54" t="s">
        <v>481</v>
      </c>
    </row>
    <row r="33" spans="1:6" ht="27.95" customHeight="1" x14ac:dyDescent="0.25">
      <c r="A33" s="54" t="s">
        <v>423</v>
      </c>
      <c r="B33" s="54" t="s">
        <v>424</v>
      </c>
      <c r="C33" s="54" t="s">
        <v>425</v>
      </c>
      <c r="D33" s="54" t="s">
        <v>416</v>
      </c>
      <c r="E33" s="54" t="s">
        <v>426</v>
      </c>
      <c r="F33" s="54" t="s">
        <v>480</v>
      </c>
    </row>
    <row r="34" spans="1:6" ht="27.95" customHeight="1" x14ac:dyDescent="0.25">
      <c r="A34" s="54" t="s">
        <v>478</v>
      </c>
      <c r="B34" s="54" t="s">
        <v>427</v>
      </c>
      <c r="C34" s="54" t="s">
        <v>428</v>
      </c>
      <c r="D34" s="54" t="s">
        <v>429</v>
      </c>
      <c r="E34" s="54" t="s">
        <v>430</v>
      </c>
      <c r="F34" s="54" t="s">
        <v>479</v>
      </c>
    </row>
  </sheetData>
  <mergeCells count="6">
    <mergeCell ref="A29:F29"/>
    <mergeCell ref="A1:G1"/>
    <mergeCell ref="A3:G3"/>
    <mergeCell ref="A4:G4"/>
    <mergeCell ref="A12:G12"/>
    <mergeCell ref="A20:E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F371-4B33-4D23-844D-89EFFDF1BF46}">
  <dimension ref="A1:F30"/>
  <sheetViews>
    <sheetView workbookViewId="0">
      <selection activeCell="I5" sqref="I5"/>
    </sheetView>
  </sheetViews>
  <sheetFormatPr defaultRowHeight="15" x14ac:dyDescent="0.25"/>
  <cols>
    <col min="1" max="1" width="60" style="27" customWidth="1"/>
    <col min="2" max="4" width="9.140625" style="27"/>
    <col min="5" max="5" width="34.5703125" style="27" customWidth="1"/>
    <col min="6" max="6" width="65" style="27" customWidth="1"/>
    <col min="7" max="16384" width="9.140625" style="27"/>
  </cols>
  <sheetData>
    <row r="1" spans="1:6" x14ac:dyDescent="0.25">
      <c r="A1" s="39" t="s">
        <v>451</v>
      </c>
    </row>
    <row r="3" spans="1:6" ht="18" customHeight="1" x14ac:dyDescent="0.25">
      <c r="A3" s="39" t="s">
        <v>450</v>
      </c>
      <c r="D3" s="95" t="s">
        <v>490</v>
      </c>
      <c r="E3" s="95"/>
      <c r="F3" s="95"/>
    </row>
    <row r="4" spans="1:6" ht="90" x14ac:dyDescent="0.25">
      <c r="A4" s="55" t="s">
        <v>453</v>
      </c>
      <c r="D4" s="45" t="s">
        <v>435</v>
      </c>
      <c r="E4" s="45" t="s">
        <v>436</v>
      </c>
      <c r="F4" s="45" t="s">
        <v>437</v>
      </c>
    </row>
    <row r="5" spans="1:6" ht="75" x14ac:dyDescent="0.25">
      <c r="A5" s="55" t="s">
        <v>452</v>
      </c>
      <c r="D5" s="29" t="s">
        <v>491</v>
      </c>
      <c r="E5" s="54" t="s">
        <v>438</v>
      </c>
      <c r="F5" s="54" t="s">
        <v>439</v>
      </c>
    </row>
    <row r="6" spans="1:6" ht="90" x14ac:dyDescent="0.25">
      <c r="A6" s="55" t="s">
        <v>433</v>
      </c>
      <c r="D6" s="29" t="s">
        <v>491</v>
      </c>
      <c r="E6" s="54" t="s">
        <v>440</v>
      </c>
      <c r="F6" s="54" t="s">
        <v>441</v>
      </c>
    </row>
    <row r="7" spans="1:6" ht="75" x14ac:dyDescent="0.25">
      <c r="A7" s="55" t="s">
        <v>492</v>
      </c>
      <c r="D7" s="29" t="s">
        <v>429</v>
      </c>
      <c r="E7" s="54" t="s">
        <v>442</v>
      </c>
      <c r="F7" s="54" t="s">
        <v>443</v>
      </c>
    </row>
    <row r="8" spans="1:6" ht="30" x14ac:dyDescent="0.25">
      <c r="D8" s="29" t="s">
        <v>429</v>
      </c>
      <c r="E8" s="54" t="s">
        <v>444</v>
      </c>
      <c r="F8" s="54" t="s">
        <v>445</v>
      </c>
    </row>
    <row r="9" spans="1:6" ht="30" x14ac:dyDescent="0.25">
      <c r="A9" s="39" t="s">
        <v>484</v>
      </c>
      <c r="D9" s="29" t="s">
        <v>429</v>
      </c>
      <c r="E9" s="54" t="s">
        <v>446</v>
      </c>
      <c r="F9" s="54" t="s">
        <v>447</v>
      </c>
    </row>
    <row r="10" spans="1:6" ht="75" x14ac:dyDescent="0.25">
      <c r="A10" s="55" t="s">
        <v>487</v>
      </c>
      <c r="D10" s="29" t="s">
        <v>416</v>
      </c>
      <c r="E10" s="54" t="s">
        <v>448</v>
      </c>
      <c r="F10" s="54" t="s">
        <v>449</v>
      </c>
    </row>
    <row r="11" spans="1:6" ht="60" x14ac:dyDescent="0.25">
      <c r="A11" s="55" t="s">
        <v>434</v>
      </c>
    </row>
    <row r="12" spans="1:6" ht="75" x14ac:dyDescent="0.25">
      <c r="A12" s="55" t="s">
        <v>488</v>
      </c>
    </row>
    <row r="13" spans="1:6" ht="75" x14ac:dyDescent="0.25">
      <c r="A13" s="55" t="s">
        <v>489</v>
      </c>
    </row>
    <row r="15" spans="1:6" ht="18" customHeight="1" x14ac:dyDescent="0.25">
      <c r="A15" s="39" t="s">
        <v>485</v>
      </c>
    </row>
    <row r="16" spans="1:6" ht="195" x14ac:dyDescent="0.25">
      <c r="A16" s="56" t="s">
        <v>486</v>
      </c>
    </row>
    <row r="23" ht="18" customHeight="1" x14ac:dyDescent="0.25"/>
    <row r="27" ht="35.1" customHeight="1" x14ac:dyDescent="0.25"/>
    <row r="28" ht="35.1" customHeight="1" x14ac:dyDescent="0.25"/>
    <row r="29" ht="35.1" customHeight="1" x14ac:dyDescent="0.25"/>
    <row r="30" ht="35.1" customHeight="1" x14ac:dyDescent="0.25"/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Supuestos</vt:lpstr>
      <vt:lpstr>CAPEX</vt:lpstr>
      <vt:lpstr>Cloud</vt:lpstr>
      <vt:lpstr>AI</vt:lpstr>
      <vt:lpstr>Transaccional</vt:lpstr>
      <vt:lpstr>OPEX</vt:lpstr>
      <vt:lpstr>Inputs</vt:lpstr>
      <vt:lpstr>Unit Economics</vt:lpstr>
      <vt:lpstr>P&amp;G 12 Meses</vt:lpstr>
      <vt:lpstr>Cash Flow</vt:lpstr>
      <vt:lpstr>Sensibilidad</vt:lpstr>
      <vt:lpstr>Conclusión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 BOTERO GARCIA</cp:lastModifiedBy>
  <dcterms:created xsi:type="dcterms:W3CDTF">2026-04-30T21:01:08Z</dcterms:created>
  <dcterms:modified xsi:type="dcterms:W3CDTF">2026-05-01T21:56:34Z</dcterms:modified>
</cp:coreProperties>
</file>